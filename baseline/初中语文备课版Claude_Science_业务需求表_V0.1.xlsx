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49588eb0772416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阅读指南" sheetId="1" r:id="Rc4735492b77f4cac"/>
    <x:sheet xmlns:r="http://schemas.openxmlformats.org/officeDocument/2006/relationships" name="01输入清单" sheetId="2" r:id="Raa6e8d3fa0c542d0"/>
    <x:sheet xmlns:r="http://schemas.openxmlformats.org/officeDocument/2006/relationships" name="02模块协作" sheetId="3" r:id="R63ced61a13c143b1"/>
    <x:sheet xmlns:r="http://schemas.openxmlformats.org/officeDocument/2006/relationships" name="03业务需求" sheetId="4" r:id="Rbad4ba73b46c4258"/>
    <x:sheet xmlns:r="http://schemas.openxmlformats.org/officeDocument/2006/relationships" name="04内容与应考" sheetId="5" r:id="R0fc73fd4dc8b4a8b"/>
    <x:sheet xmlns:r="http://schemas.openxmlformats.org/officeDocument/2006/relationships" name="05方法与理论" sheetId="6" r:id="R3ff4d5648c634526"/>
    <x:sheet xmlns:r="http://schemas.openxmlformats.org/officeDocument/2006/relationships" name="06学习联结卡" sheetId="7" r:id="Re3d483c7fdf246bb"/>
    <x:sheet xmlns:r="http://schemas.openxmlformats.org/officeDocument/2006/relationships" name="07输出清单" sheetId="8" r:id="R2a873e2ba68d4ce2"/>
    <x:sheet xmlns:r="http://schemas.openxmlformats.org/officeDocument/2006/relationships" name="08质量纠正" sheetId="9" r:id="Rbb794541028841db"/>
    <x:sheet xmlns:r="http://schemas.openxmlformats.org/officeDocument/2006/relationships" name="09场景走查" sheetId="10" r:id="R9cac55ee0d0c44b7"/>
    <x:sheet xmlns:r="http://schemas.openxmlformats.org/officeDocument/2006/relationships" name="10试点验收" sheetId="11" r:id="R64edc8cc4d3a4588"/>
    <x:sheet xmlns:r="http://schemas.openxmlformats.org/officeDocument/2006/relationships" name="11来源依据" sheetId="12" r:id="R20e59541ed8748f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4">
    <x:font>
      <x:sz val="11"/>
      <x:name val="Carlito"/>
    </x:font>
    <x:font>
      <x:b/>
      <x:sz val="18"/>
      <x:color rgb="FFFFFFFF"/>
      <x:name val="Microsoft YaHei"/>
    </x:font>
    <x:font>
      <x:sz val="11"/>
      <x:color rgb="FF22364A"/>
      <x:name val="Microsoft YaHei"/>
    </x:font>
    <x:font>
      <x:sz val="10"/>
      <x:color rgb="FF22364A"/>
      <x:name val="Microsoft YaHei"/>
    </x:font>
    <x:font>
      <x:b/>
      <x:sz val="10"/>
      <x:color rgb="FFFFFFFF"/>
      <x:name val="Microsoft YaHei"/>
    </x:font>
    <x:font>
      <x:b/>
      <x:sz val="10"/>
      <x:color rgb="FF22364A"/>
      <x:name val="Microsoft YaHei"/>
    </x:font>
    <x:font>
      <x:sz val="10"/>
      <x:color rgb="FF1D4ED8"/>
      <x:name val="Microsoft YaHei"/>
    </x:font>
    <x:font>
      <x:b/>
      <x:sz val="20"/>
      <x:color rgb="FFFFFFFF"/>
      <x:name val="Microsoft YaHei"/>
    </x:font>
    <x:font>
      <x:sz val="11"/>
      <x:color rgb="FF22364A"/>
      <x:name val="Microsoft YaHei"/>
    </x:font>
    <x:font>
      <x:b/>
      <x:sz val="11"/>
      <x:color rgb="FFFFFFFF"/>
      <x:name val="Microsoft YaHei"/>
    </x:font>
    <x:font>
      <x:b/>
      <x:sz val="26"/>
      <x:color rgb="FF006D77"/>
      <x:name val="Microsoft YaHei"/>
    </x:font>
    <x:font>
      <x:b/>
      <x:sz val="12"/>
      <x:color rgb="FFFFFFFF"/>
      <x:name val="Microsoft YaHei"/>
    </x:font>
    <x:font>
      <x:sz val="10"/>
      <x:color rgb="FF22364A"/>
      <x:name val="Microsoft YaHei"/>
    </x:font>
    <x:font>
      <x:sz val="10"/>
      <x:color rgb="FF617589"/>
      <x:name val="Microsoft YaHei"/>
    </x:font>
  </x:fonts>
  <x:fills count="8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AF4F4"/>
      </x:patternFill>
    </x:fill>
    <x:fill>
      <x:patternFill patternType="solid">
        <x:fgColor rgb="FF006D77"/>
      </x:patternFill>
    </x:fill>
    <x:fill>
      <x:patternFill patternType="solid">
        <x:fgColor rgb="FFF4F7FA"/>
      </x:patternFill>
    </x:fill>
    <x:fill>
      <x:patternFill patternType="solid">
        <x:fgColor rgb="FFFFFFFF"/>
      </x:patternFill>
    </x:fill>
    <x:fill>
      <x:patternFill patternType="solid">
        <x:fgColor rgb="FFFFF1CC"/>
      </x:patternFill>
    </x:fill>
  </x:fills>
  <x:borders count="2">
    <x:border/>
    <x:border/>
  </x:borders>
  <x:cellStyleXfs count="1">
    <x:xf numFmtId="0" fontId="0" fillId="0" borderId="0"/>
  </x:cellStyleXfs>
  <x:cellXfs count="7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vertical="top" wrapText="1"/>
    </x:xf>
    <x:xf numFmtId="0" fontId="5" fillId="0" borderId="1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 wrapText="1"/>
    </x:xf>
    <x:xf numFmtId="0" fontId="6" fillId="0" borderId="1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center" wrapText="1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7" fillId="2" borderId="0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7" fillId="2" borderId="1" xfId="0" applyNumberFormat="1" applyFont="1" applyFill="1" applyBorder="1" applyAlignment="1">
      <x:alignment vertical="center" wrapText="1"/>
    </x:xf>
    <x:xf numFmtId="0" fontId="8" fillId="3" borderId="0" xfId="0" applyNumberFormat="1" applyFont="1" applyFill="1" applyBorder="1" applyAlignment="1">
      <x:alignment vertical="center" wrapText="1"/>
    </x:xf>
    <x:xf numFmtId="0" fontId="8" fillId="3" borderId="1" xfId="0" applyNumberFormat="1" applyFont="1" applyFill="1" applyBorder="1" applyAlignment="1">
      <x:alignment vertical="center" wrapText="1"/>
    </x:xf>
    <x:xf numFmtId="0" fontId="2" fillId="4" borderId="0" xfId="0" applyNumberFormat="1" applyFont="1" applyFill="1" applyBorder="1" applyAlignment="1">
      <x:alignment vertical="center" wrapText="1"/>
    </x:xf>
    <x:xf numFmtId="0" fontId="9" fillId="4" borderId="0" xfId="0" applyNumberFormat="1" applyFont="1" applyFill="1" applyBorder="1" applyAlignment="1">
      <x:alignment vertical="center" wrapText="1"/>
    </x:xf>
    <x:xf numFmtId="0" fontId="2" fillId="4" borderId="1" xfId="0" applyNumberFormat="1" applyFont="1" applyFill="1" applyBorder="1" applyAlignment="1">
      <x:alignment vertical="center" wrapText="1"/>
    </x:xf>
    <x:xf numFmtId="0" fontId="9" fillId="4" borderId="1" xfId="0" applyNumberFormat="1" applyFont="1" applyFill="1" applyBorder="1" applyAlignment="1">
      <x:alignment vertical="center" wrapText="1"/>
    </x:xf>
    <x:xf numFmtId="0" fontId="2" fillId="5" borderId="0" xfId="0" applyNumberFormat="1" applyFont="1" applyFill="1" applyBorder="1" applyAlignment="1">
      <x:alignment vertical="center" wrapText="1"/>
    </x:xf>
    <x:xf numFmtId="0" fontId="10" fillId="5" borderId="0" xfId="0" applyNumberFormat="1" applyFont="1" applyFill="1" applyBorder="1" applyAlignment="1">
      <x:alignment vertical="center" wrapText="1"/>
    </x:xf>
    <x:xf numFmtId="0" fontId="10" fillId="5" borderId="0" xfId="0" applyNumberFormat="1" applyFont="1" applyFill="1" applyBorder="1" applyAlignment="1">
      <x:alignment horizontal="center" vertical="center" wrapText="1"/>
    </x:xf>
    <x:xf numFmtId="0" fontId="2" fillId="5" borderId="1" xfId="0" applyNumberFormat="1" applyFont="1" applyFill="1" applyBorder="1" applyAlignment="1">
      <x:alignment vertical="center" wrapText="1"/>
    </x:xf>
    <x:xf numFmtId="0" fontId="10" fillId="5" borderId="1" xfId="0" applyNumberFormat="1" applyFont="1" applyFill="1" applyBorder="1" applyAlignment="1">
      <x:alignment vertical="center" wrapText="1"/>
    </x:xf>
    <x:xf numFmtId="0" fontId="10" fillId="5" borderId="1" xfId="0" applyNumberFormat="1" applyFont="1" applyFill="1" applyBorder="1" applyAlignment="1">
      <x:alignment horizontal="center" vertical="center" wrapText="1"/>
    </x:xf>
    <x:xf numFmtId="0" fontId="11" fillId="2" borderId="0" xfId="0" applyNumberFormat="1" applyFont="1" applyFill="1" applyBorder="1" applyAlignment="1">
      <x:alignment vertical="center" wrapText="1"/>
    </x:xf>
    <x:xf numFmtId="0" fontId="11" fillId="2" borderId="1" xfId="0" applyNumberFormat="1" applyFont="1" applyFill="1" applyBorder="1" applyAlignment="1">
      <x:alignment vertical="center" wrapText="1"/>
    </x:xf>
    <x:xf numFmtId="0" fontId="8" fillId="0" borderId="0" xfId="0" applyNumberFormat="1" applyFont="1" applyFill="1" applyBorder="1" applyAlignment="1">
      <x:alignment vertical="center" wrapText="1"/>
    </x:xf>
    <x:xf numFmtId="0" fontId="8" fillId="0" borderId="1" xfId="0" applyNumberFormat="1" applyFont="1" applyFill="1" applyBorder="1" applyAlignment="1">
      <x:alignment vertical="center" wrapText="1"/>
    </x:xf>
    <x:xf numFmtId="0" fontId="5" fillId="5" borderId="0" xfId="0" applyNumberFormat="1" applyFont="1" applyFill="1" applyBorder="1" applyAlignment="1">
      <x:alignment vertical="center" wrapText="1"/>
    </x:xf>
    <x:xf numFmtId="0" fontId="5" fillId="5" borderId="1" xfId="0" applyNumberFormat="1" applyFont="1" applyFill="1" applyBorder="1" applyAlignment="1">
      <x:alignment vertical="center" wrapText="1"/>
    </x:xf>
    <x:xf numFmtId="0" fontId="8" fillId="5" borderId="0" xfId="0" applyNumberFormat="1" applyFont="1" applyFill="1" applyBorder="1" applyAlignment="1">
      <x:alignment vertical="center" wrapText="1"/>
    </x:xf>
    <x:xf numFmtId="0" fontId="8" fillId="5" borderId="1" xfId="0" applyNumberFormat="1" applyFont="1" applyFill="1" applyBorder="1" applyAlignment="1">
      <x:alignment vertical="center" wrapText="1"/>
    </x:xf>
    <x:xf numFmtId="0" fontId="12" fillId="5" borderId="0" xfId="0" applyNumberFormat="1" applyFont="1" applyFill="1" applyBorder="1" applyAlignment="1">
      <x:alignment vertical="center" wrapText="1"/>
    </x:xf>
    <x:xf numFmtId="0" fontId="12" fillId="5" borderId="1" xfId="0" applyNumberFormat="1" applyFont="1" applyFill="1" applyBorder="1" applyAlignment="1">
      <x:alignment vertical="center" wrapText="1"/>
    </x:xf>
    <x:xf numFmtId="0" fontId="2" fillId="6" borderId="0" xfId="0" applyNumberFormat="1" applyFont="1" applyFill="1" applyBorder="1" applyAlignment="1">
      <x:alignment vertical="center" wrapText="1"/>
    </x:xf>
    <x:xf numFmtId="0" fontId="5" fillId="6" borderId="0" xfId="0" applyNumberFormat="1" applyFont="1" applyFill="1" applyBorder="1" applyAlignment="1">
      <x:alignment vertical="center" wrapText="1"/>
    </x:xf>
    <x:xf numFmtId="0" fontId="2" fillId="6" borderId="1" xfId="0" applyNumberFormat="1" applyFont="1" applyFill="1" applyBorder="1" applyAlignment="1">
      <x:alignment vertical="center" wrapText="1"/>
    </x:xf>
    <x:xf numFmtId="0" fontId="5" fillId="6" borderId="1" xfId="0" applyNumberFormat="1" applyFont="1" applyFill="1" applyBorder="1" applyAlignment="1">
      <x:alignment vertical="center" wrapText="1"/>
    </x:xf>
    <x:xf numFmtId="0" fontId="8" fillId="6" borderId="0" xfId="0" applyNumberFormat="1" applyFont="1" applyFill="1" applyBorder="1" applyAlignment="1">
      <x:alignment vertical="center" wrapText="1"/>
    </x:xf>
    <x:xf numFmtId="0" fontId="8" fillId="6" borderId="1" xfId="0" applyNumberFormat="1" applyFont="1" applyFill="1" applyBorder="1" applyAlignment="1">
      <x:alignment vertical="center" wrapText="1"/>
    </x:xf>
    <x:xf numFmtId="0" fontId="12" fillId="6" borderId="0" xfId="0" applyNumberFormat="1" applyFont="1" applyFill="1" applyBorder="1" applyAlignment="1">
      <x:alignment vertical="center" wrapText="1"/>
    </x:xf>
    <x:xf numFmtId="0" fontId="12" fillId="6" borderId="1" xfId="0" applyNumberFormat="1" applyFont="1" applyFill="1" applyBorder="1" applyAlignment="1">
      <x:alignment vertical="center" wrapText="1"/>
    </x:xf>
    <x:xf numFmtId="0" fontId="2" fillId="7" borderId="0" xfId="0" applyNumberFormat="1" applyFont="1" applyFill="1" applyBorder="1" applyAlignment="1">
      <x:alignment vertical="center" wrapText="1"/>
    </x:xf>
    <x:xf numFmtId="0" fontId="8" fillId="7" borderId="0" xfId="0" applyNumberFormat="1" applyFont="1" applyFill="1" applyBorder="1" applyAlignment="1">
      <x:alignment vertical="center" wrapText="1"/>
    </x:xf>
    <x:xf numFmtId="0" fontId="2" fillId="7" borderId="1" xfId="0" applyNumberFormat="1" applyFont="1" applyFill="1" applyBorder="1" applyAlignment="1">
      <x:alignment vertical="center" wrapText="1"/>
    </x:xf>
    <x:xf numFmtId="0" fontId="8" fillId="7" borderId="1" xfId="0" applyNumberFormat="1" applyFont="1" applyFill="1" applyBorder="1" applyAlignment="1">
      <x:alignment vertical="center" wrapText="1"/>
    </x:xf>
    <x:xf numFmtId="0" fontId="13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3">
    <x:dxf>
      <x:fill>
        <x:patternFill patternType="solid">
          <x:bgColor rgb="FFFFF1CC"/>
        </x:patternFill>
      </x:fill>
    </x:dxf>
    <x:dxf>
      <x:fill>
        <x:patternFill patternType="solid">
          <x:bgColor rgb="FFE5F3EC"/>
        </x:patternFill>
      </x:fill>
    </x:dxf>
    <x:dxf>
      <x:fill>
        <x:patternFill patternType="solid">
          <x:bgColor rgb="FFFCE6E5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13766cc79074212" /><Relationship Type="http://schemas.openxmlformats.org/officeDocument/2006/relationships/theme" Target="/xl/theme/theme1.xml" Id="R0c02286fd56f4b9b" /><Relationship Type="http://schemas.openxmlformats.org/officeDocument/2006/relationships/sharedStrings" Target="/xl/sharedStrings.xml" Id="Rec238da666be4ab6" /><Relationship Type="http://schemas.openxmlformats.org/officeDocument/2006/relationships/worksheet" Target="/xl/worksheets/sheet1.xml" Id="Rc4735492b77f4cac" /><Relationship Type="http://schemas.openxmlformats.org/officeDocument/2006/relationships/worksheet" Target="/xl/worksheets/sheet2.xml" Id="Raa6e8d3fa0c542d0" /><Relationship Type="http://schemas.openxmlformats.org/officeDocument/2006/relationships/worksheet" Target="/xl/worksheets/sheet3.xml" Id="R63ced61a13c143b1" /><Relationship Type="http://schemas.openxmlformats.org/officeDocument/2006/relationships/worksheet" Target="/xl/worksheets/sheet4.xml" Id="Rbad4ba73b46c4258" /><Relationship Type="http://schemas.openxmlformats.org/officeDocument/2006/relationships/worksheet" Target="/xl/worksheets/sheet5.xml" Id="R0fc73fd4dc8b4a8b" /><Relationship Type="http://schemas.openxmlformats.org/officeDocument/2006/relationships/worksheet" Target="/xl/worksheets/sheet6.xml" Id="R3ff4d5648c634526" /><Relationship Type="http://schemas.openxmlformats.org/officeDocument/2006/relationships/worksheet" Target="/xl/worksheets/sheet7.xml" Id="Re3d483c7fdf246bb" /><Relationship Type="http://schemas.openxmlformats.org/officeDocument/2006/relationships/worksheet" Target="/xl/worksheets/sheet8.xml" Id="R2a873e2ba68d4ce2" /><Relationship Type="http://schemas.openxmlformats.org/officeDocument/2006/relationships/worksheet" Target="/xl/worksheets/sheet9.xml" Id="Rbb794541028841db" /><Relationship Type="http://schemas.openxmlformats.org/officeDocument/2006/relationships/worksheet" Target="/xl/worksheets/sheet10.xml" Id="R9cac55ee0d0c44b7" /><Relationship Type="http://schemas.openxmlformats.org/officeDocument/2006/relationships/worksheet" Target="/xl/worksheets/sheet11.xml" Id="R64edc8cc4d3a4588" /><Relationship Type="http://schemas.openxmlformats.org/officeDocument/2006/relationships/worksheet" Target="/xl/worksheets/sheet12.xml" Id="R20e59541ed8748f8" /></Relationships>
</file>

<file path=xl/tables/table1.xml><?xml version="1.0" encoding="utf-8"?>
<x:table xmlns:x="http://schemas.openxmlformats.org/spreadsheetml/2006/main" id="1" name="InputTable" displayName="InputTable" ref="A5:K15" headerRowCount="1" totalsRowCount="0" totalsRowShown="0">
  <x:tableColumns count="11">
    <x:tableColumn id="1" name="输入ID"/>
    <x:tableColumn id="2" name="类别"/>
    <x:tableColumn id="3" name="具体内容"/>
    <x:tableColumn id="4" name="来源"/>
    <x:tableColumn id="5" name="获取方式与责任"/>
    <x:tableColumn id="6" name="更新时机"/>
    <x:tableColumn id="7" name="必须保留的信息"/>
    <x:tableColumn id="8" name="使用模块"/>
    <x:tableColumn id="9" name="缺失处理"/>
    <x:tableColumn id="10" name="依据ID"/>
    <x:tableColumn id="11" name="主要来源UR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ModuleTable" displayName="ModuleTable" ref="A5:I17" headerRowCount="1" totalsRowCount="0" totalsRowShown="0">
  <x:tableColumns count="9">
    <x:tableColumn id="1" name="模块"/>
    <x:tableColumn id="2" name="业务职责"/>
    <x:tableColumn id="3" name="输入"/>
    <x:tableColumn id="4" name="核心决定/动作"/>
    <x:tableColumn id="5" name="输出"/>
    <x:tableColumn id="6" name="交给谁"/>
    <x:tableColumn id="7" name="退回条件"/>
    <x:tableColumn id="8" name="教师参与"/>
    <x:tableColumn id="9" name="验收要点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RequirementTable" displayName="RequirementTable" ref="A5:L65" headerRowCount="1" totalsRowCount="0" totalsRowShown="0">
  <x:tableColumns count="12">
    <x:tableColumn id="1" name="需求ID"/>
    <x:tableColumn id="2" name="模块"/>
    <x:tableColumn id="3" name="需求名称"/>
    <x:tableColumn id="4" name="触发/输入"/>
    <x:tableColumn id="5" name="业务规则"/>
    <x:tableColumn id="6" name="交付/下游"/>
    <x:tableColumn id="7" name="教师动作"/>
    <x:tableColumn id="8" name="验收条件"/>
    <x:tableColumn id="9" name="优先级"/>
    <x:tableColumn id="10" name="讨论状态"/>
    <x:tableColumn id="11" name="依据ID"/>
    <x:tableColumn id="12" name="主要来源URL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ContentTable" displayName="ContentTable" ref="A5:H16" headerRowCount="1" totalsRowCount="0" totalsRowShown="0">
  <x:tableColumns count="8">
    <x:tableColumn id="1" name="类别ID"/>
    <x:tableColumn id="2" name="内容/方向"/>
    <x:tableColumn id="3" name="核心内容"/>
    <x:tableColumn id="4" name="教学与学习安排"/>
    <x:tableColumn id="5" name="独立证据"/>
    <x:tableColumn id="6" name="应考要求/边界"/>
    <x:tableColumn id="7" name="依据ID"/>
    <x:tableColumn id="8" name="主要来源URL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MethodTable" displayName="MethodTable" ref="A5:J17" headerRowCount="1" totalsRowCount="0" totalsRowShown="0">
  <x:tableColumns count="10">
    <x:tableColumn id="1" name="方法ID"/>
    <x:tableColumn id="2" name="方法"/>
    <x:tableColumn id="3" name="适用困难/目标"/>
    <x:tableColumn id="4" name="理论与证据定位"/>
    <x:tableColumn id="5" name="具体学生行动"/>
    <x:tableColumn id="6" name="适用内容"/>
    <x:tableColumn id="7" name="如何观察"/>
    <x:tableColumn id="8" name="限制/失效条件"/>
    <x:tableColumn id="9" name="依据ID"/>
    <x:tableColumn id="10" name="主要来源URL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LinkageTable" displayName="LinkageTable" ref="A5:F20" headerRowCount="1" totalsRowCount="0" totalsRowShown="0">
  <x:tableColumns count="6">
    <x:tableColumn id="1" name="字段ID"/>
    <x:tableColumn id="2" name="字段"/>
    <x:tableColumn id="3" name="必须记录什么"/>
    <x:tableColumn id="4" name="《梦游天姥吟留别》方法例示"/>
    <x:tableColumn id="5" name="模块配合"/>
    <x:tableColumn id="6" name="检查/删除条件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OutputTable" displayName="OutputTable" ref="A5:G17" headerRowCount="1" totalsRowCount="0" totalsRowShown="0">
  <x:tableColumns count="7">
    <x:tableColumn id="1" name="输出ID"/>
    <x:tableColumn id="2" name="交付物"/>
    <x:tableColumn id="3" name="最低内容"/>
    <x:tableColumn id="4" name="负责模块"/>
    <x:tableColumn id="5" name="下游使用者"/>
    <x:tableColumn id="6" name="教师交互"/>
    <x:tableColumn id="7" name="完成条件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CorrectionTable" displayName="CorrectionTable" ref="A5:J17" headerRowCount="1" totalsRowCount="0" totalsRowShown="0">
  <x:tableColumns count="10">
    <x:tableColumn id="1" name="规则ID"/>
    <x:tableColumn id="2" name="偏差信号"/>
    <x:tableColumn id="3" name="表现"/>
    <x:tableColumn id="4" name="先核实什么"/>
    <x:tableColumn id="5" name="最小纠正动作"/>
    <x:tableColumn id="6" name="返回模块"/>
    <x:tableColumn id="7" name="怎样再观察"/>
    <x:tableColumn id="8" name="判断边界"/>
    <x:tableColumn id="9" name="依据ID"/>
    <x:tableColumn id="10" name="主要来源URL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ScenarioTable" displayName="ScenarioTable" ref="A5:H14" headerRowCount="1" totalsRowCount="0" totalsRowShown="0">
  <x:tableColumns count="8">
    <x:tableColumn id="1" name="场景ID"/>
    <x:tableColumn id="2" name="阶段"/>
    <x:tableColumn id="3" name="输入/条件"/>
    <x:tableColumn id="4" name="模块动作"/>
    <x:tableColumn id="5" name="输出"/>
    <x:tableColumn id="6" name="教师只需做什么"/>
    <x:tableColumn id="7" name="验收要点"/>
    <x:tableColumn id="8" name="状态/边界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PilotTable" displayName="PilotTable" ref="A5:G15" headerRowCount="1" totalsRowCount="0" totalsRowShown="0">
  <x:tableColumns count="7">
    <x:tableColumn id="1" name="验收ID"/>
    <x:tableColumn id="2" name="对象"/>
    <x:tableColumn id="3" name="所需输入/条件"/>
    <x:tableColumn id="4" name="执行方式"/>
    <x:tableColumn id="5" name="通过判断/当前缺口"/>
    <x:tableColumn id="6" name="当前状态"/>
    <x:tableColumn id="7" name="约束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SourceTable" displayName="SourceTable" ref="A5:J19" headerRowCount="1" totalsRowCount="0" totalsRowShown="0">
  <x:tableColumns count="10">
    <x:tableColumn id="1" name="来源ID"/>
    <x:tableColumn id="2" name="证据类型"/>
    <x:tableColumn id="3" name="标题"/>
    <x:tableColumn id="4" name="机构/作者"/>
    <x:tableColumn id="5" name="原始时间"/>
    <x:tableColumn id="6" name="核对日期"/>
    <x:tableColumn id="7" name="支持什么"/>
    <x:tableColumn id="8" name="适用限制/核验状态"/>
    <x:tableColumn id="9" name="主要URL"/>
    <x:tableColumn id="10" name="补充UR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0b3a35241f2478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1c6aa6c2792433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a3cac4f3db9458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5810142514b4aa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52b8817b4f2425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ff8af8c551546f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5b0db8ff640484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4abf81ac0414b2e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94ef1e0edbfa416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c038cf0b7aa6478f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984c5a3e34e1478a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44" customHeight="1">
      <x:c r="A1" s="41" t="str">
        <x:v>初中语文备课工作台｜业务需求表 V0.1</x:v>
      </x:c>
      <x:c r="B1" s="41"/>
      <x:c r="C1" s="41"/>
      <x:c r="D1" s="41"/>
      <x:c r="E1" s="41"/>
      <x:c r="F1" s="41"/>
      <x:c r="G1" s="41"/>
      <x:c r="H1" s="41"/>
    </x:row>
    <x:row r="2" ht="32" customHeight="1">
      <x:c r="A2" s="44" t="str">
        <x:v>借鉴 Claude Science 的任务组织方式：以可靠内容和方法，完成可审阅、可使用、可纠正的备课任务。</x:v>
      </x:c>
      <x:c r="B2" s="44"/>
      <x:c r="C2" s="44"/>
      <x:c r="D2" s="44"/>
      <x:c r="E2" s="44"/>
      <x:c r="F2" s="44"/>
      <x:c r="G2" s="44"/>
      <x:c r="H2" s="44"/>
    </x:row>
    <x:row r="3" ht="32" customHeight="1">
      <x:c r="A3" s="44" t="str">
        <x:v>对象：赣州社富中学初一语文教师｜范围：七至九年级业务蓝图，先从当前单元试点｜不涉及技术架构或代码。</x:v>
      </x:c>
      <x:c r="B3" s="44"/>
      <x:c r="C3" s="44"/>
      <x:c r="D3" s="44"/>
      <x:c r="E3" s="44"/>
      <x:c r="F3" s="44"/>
      <x:c r="G3" s="44"/>
      <x:c r="H3" s="44"/>
    </x:row>
    <x:row r="4" ht="10" customHeight="1">
      <x:c r="A4" s="36"/>
      <x:c r="B4" s="36"/>
      <x:c r="C4" s="36"/>
      <x:c r="D4" s="36"/>
      <x:c r="E4" s="36"/>
      <x:c r="F4" s="36"/>
      <x:c r="G4" s="36"/>
      <x:c r="H4" s="36"/>
    </x:row>
    <x:row r="5" ht="24" customHeight="1">
      <x:c r="A5" s="47" t="str">
        <x:v>业务需求</x:v>
      </x:c>
      <x:c r="B5" s="47"/>
      <x:c r="C5" s="47" t="str">
        <x:v>业务模块</x:v>
      </x:c>
      <x:c r="D5" s="47"/>
      <x:c r="E5" s="47" t="str">
        <x:v>方法条目</x:v>
      </x:c>
      <x:c r="F5" s="47"/>
      <x:c r="G5" s="47" t="str">
        <x:v>来源条目</x:v>
      </x:c>
      <x:c r="H5" s="47"/>
    </x:row>
    <x:row r="6" ht="27" customHeight="1">
      <x:c r="A6" s="52" t="n">
        <x:f>COUNTA('03业务需求'!A6:A65)</x:f>
        <x:v>60</x:v>
      </x:c>
      <x:c r="B6" s="52"/>
      <x:c r="C6" s="52" t="n">
        <x:f>COUNTA('02模块协作'!A6:A17)</x:f>
        <x:v>12</x:v>
      </x:c>
      <x:c r="D6" s="52"/>
      <x:c r="E6" s="52" t="n">
        <x:f>COUNTA('05方法与理论'!A6:A17)</x:f>
        <x:v>12</x:v>
      </x:c>
      <x:c r="F6" s="52"/>
      <x:c r="G6" s="52" t="n">
        <x:f>COUNTA('11来源依据'!A6:A19)</x:f>
        <x:v>14</x:v>
      </x:c>
      <x:c r="H6" s="52"/>
    </x:row>
    <x:row r="7" ht="27" customHeight="1">
      <x:c r="A7" s="52"/>
      <x:c r="B7" s="52"/>
      <x:c r="C7" s="52"/>
      <x:c r="D7" s="52"/>
      <x:c r="E7" s="52"/>
      <x:c r="F7" s="52"/>
      <x:c r="G7" s="52"/>
      <x:c r="H7" s="52"/>
    </x:row>
    <x:row r="8" ht="10" customHeight="1">
      <x:c r="A8" s="36"/>
      <x:c r="B8" s="36"/>
      <x:c r="C8" s="36"/>
      <x:c r="D8" s="36"/>
      <x:c r="E8" s="36"/>
      <x:c r="F8" s="36"/>
      <x:c r="G8" s="36"/>
      <x:c r="H8" s="36"/>
    </x:row>
    <x:row r="9" ht="28" customHeight="1">
      <x:c r="A9" s="56" t="str">
        <x:v>业务闭环｜目标和证据先确定，方法和材料后编排</x:v>
      </x:c>
      <x:c r="B9" s="56"/>
      <x:c r="C9" s="56"/>
      <x:c r="D9" s="56"/>
      <x:c r="E9" s="56"/>
      <x:c r="F9" s="56"/>
      <x:c r="G9" s="56"/>
      <x:c r="H9" s="56"/>
    </x:row>
    <x:row r="10" ht="24" customHeight="1">
      <x:c r="A10" s="44" t="str">
        <x:v>M01 任务约束 → M02 课程/考试、M03 文本、M04 学情 → M05 有意义联结
→ M06 方法与 M07 任务/证据共同设计 → M08 课堂与负担预算 → M09 成果草稿 → M10 审查 → M09 教师确认
→ 实际课堂 → M11 证据核实与归因 → M12 最小纠正与复核 → 返回相应前序模块</x:v>
      </x:c>
      <x:c r="B10" s="44"/>
      <x:c r="C10" s="44"/>
      <x:c r="D10" s="44"/>
      <x:c r="E10" s="44"/>
      <x:c r="F10" s="44"/>
      <x:c r="G10" s="44"/>
      <x:c r="H10" s="44"/>
    </x:row>
    <x:row r="11" ht="24" customHeight="1">
      <x:c r="A11" s="44"/>
      <x:c r="B11" s="44"/>
      <x:c r="C11" s="44"/>
      <x:c r="D11" s="44"/>
      <x:c r="E11" s="44"/>
      <x:c r="F11" s="44"/>
      <x:c r="G11" s="44"/>
      <x:c r="H11" s="44"/>
    </x:row>
    <x:row r="12" ht="24" customHeight="1">
      <x:c r="A12" s="44"/>
      <x:c r="B12" s="44"/>
      <x:c r="C12" s="44"/>
      <x:c r="D12" s="44"/>
      <x:c r="E12" s="44"/>
      <x:c r="F12" s="44"/>
      <x:c r="G12" s="44"/>
      <x:c r="H12" s="44"/>
    </x:row>
    <x:row r="13" ht="36" customHeight="1">
      <x:c r="A13" s="58" t="str">
        <x:v>教师界面：默认一套方案，通常一次采用；只问决定性未知。课后反馈可选。模块是职责，不意味着要搭建12个独立AI。</x:v>
      </x:c>
      <x:c r="B13" s="58"/>
      <x:c r="C13" s="58"/>
      <x:c r="D13" s="58"/>
      <x:c r="E13" s="58"/>
      <x:c r="F13" s="58"/>
      <x:c r="G13" s="58"/>
      <x:c r="H13" s="58"/>
    </x:row>
    <x:row r="14" ht="28" customHeight="1">
      <x:c r="A14" s="56" t="str">
        <x:v>阅读顺序与各表用途</x:v>
      </x:c>
      <x:c r="B14" s="56"/>
      <x:c r="C14" s="56"/>
      <x:c r="D14" s="56"/>
      <x:c r="E14" s="56"/>
      <x:c r="F14" s="56"/>
      <x:c r="G14" s="56"/>
      <x:c r="H14" s="56"/>
    </x:row>
    <x:row r="15" ht="27" customHeight="1">
      <x:c r="A15" s="25" t="str">
        <x:v>工作表</x:v>
      </x:c>
      <x:c r="B15" s="25"/>
      <x:c r="C15" s="25" t="str">
        <x:v>解决的问题</x:v>
      </x:c>
      <x:c r="D15" s="25"/>
      <x:c r="E15" s="25"/>
      <x:c r="F15" s="25"/>
      <x:c r="G15" s="25" t="str">
        <x:v>建议使用方式</x:v>
      </x:c>
      <x:c r="H15" s="25"/>
    </x:row>
    <x:row r="16" ht="40" customHeight="1">
      <x:c r="A16" s="60" t="str">
        <x:v>01输入清单</x:v>
      </x:c>
      <x:c r="B16" s="60"/>
      <x:c r="C16" s="62" t="str">
        <x:v>资料从哪里来、谁整理、缺什么怎样处理；不把建档变成长问卷。</x:v>
      </x:c>
      <x:c r="D16" s="62"/>
      <x:c r="E16" s="62"/>
      <x:c r="F16" s="62"/>
      <x:c r="G16" s="64" t="str">
        <x:v>启动时看</x:v>
      </x:c>
      <x:c r="H16" s="64"/>
    </x:row>
    <x:row r="17" ht="40" customHeight="1">
      <x:c r="A17" s="67" t="str">
        <x:v>02模块协作</x:v>
      </x:c>
      <x:c r="B17" s="67"/>
      <x:c r="C17" s="70" t="str">
        <x:v>每个模块接收什么、输出什么、交给谁、什么情况退回。</x:v>
      </x:c>
      <x:c r="D17" s="70"/>
      <x:c r="E17" s="70"/>
      <x:c r="F17" s="70"/>
      <x:c r="G17" s="72" t="str">
        <x:v>先走主流程</x:v>
      </x:c>
      <x:c r="H17" s="72"/>
    </x:row>
    <x:row r="18" ht="40" customHeight="1">
      <x:c r="A18" s="60" t="str">
        <x:v>03业务需求</x:v>
      </x:c>
      <x:c r="B18" s="60"/>
      <x:c r="C18" s="62" t="str">
        <x:v>60条可讨论和验收的需求，含教师动作、优先级、依据。</x:v>
      </x:c>
      <x:c r="D18" s="62"/>
      <x:c r="E18" s="62"/>
      <x:c r="F18" s="62"/>
      <x:c r="G18" s="64" t="str">
        <x:v>逐条确认</x:v>
      </x:c>
      <x:c r="H18" s="64"/>
    </x:row>
    <x:row r="19" ht="40" customHeight="1">
      <x:c r="A19" s="67" t="str">
        <x:v>04内容与应考</x:v>
      </x:c>
      <x:c r="B19" s="67"/>
      <x:c r="C19" s="70" t="str">
        <x:v>课标方向、具体课型、学习方法与应考要求如何兼顾。</x:v>
      </x:c>
      <x:c r="D19" s="70"/>
      <x:c r="E19" s="70"/>
      <x:c r="F19" s="70"/>
      <x:c r="G19" s="72" t="str">
        <x:v>核对覆盖</x:v>
      </x:c>
      <x:c r="H19" s="72"/>
    </x:row>
    <x:row r="20" ht="40" customHeight="1">
      <x:c r="A20" s="60" t="str">
        <x:v>05方法与理论</x:v>
      </x:c>
      <x:c r="B20" s="60"/>
      <x:c r="C20" s="62" t="str">
        <x:v>12种方法的适用条件、学生行动、证据与失效边界。</x:v>
      </x:c>
      <x:c r="D20" s="62"/>
      <x:c r="E20" s="62"/>
      <x:c r="F20" s="62"/>
      <x:c r="G20" s="64" t="str">
        <x:v>按内容选方法</x:v>
      </x:c>
      <x:c r="H20" s="64"/>
    </x:row>
    <x:row r="21" ht="40" customHeight="1">
      <x:c r="A21" s="67" t="str">
        <x:v>06学习联结卡</x:v>
      </x:c>
      <x:c r="B21" s="67"/>
      <x:c r="C21" s="70" t="str">
        <x:v>把生平—作品—已学—后续的联系变成有用、可检验的教学任务。</x:v>
      </x:c>
      <x:c r="D21" s="70"/>
      <x:c r="E21" s="70"/>
      <x:c r="F21" s="70"/>
      <x:c r="G21" s="72" t="str">
        <x:v>重点讨论</x:v>
      </x:c>
      <x:c r="H21" s="72"/>
    </x:row>
    <x:row r="22" ht="40" customHeight="1">
      <x:c r="A22" s="60" t="str">
        <x:v>07输出清单</x:v>
      </x:c>
      <x:c r="B22" s="60"/>
      <x:c r="C22" s="62" t="str">
        <x:v>工作台具体交付什么，教师需要看什么，谁接着使用。</x:v>
      </x:c>
      <x:c r="D22" s="62"/>
      <x:c r="E22" s="62"/>
      <x:c r="F22" s="62"/>
      <x:c r="G22" s="64" t="str">
        <x:v>核对可用性</x:v>
      </x:c>
      <x:c r="H22" s="64"/>
    </x:row>
    <x:row r="23" ht="40" customHeight="1">
      <x:c r="A23" s="67" t="str">
        <x:v>08质量纠正</x:v>
      </x:c>
      <x:c r="B23" s="67"/>
      <x:c r="C23" s="70" t="str">
        <x:v>遇到问题先查什么、修哪里、用什么证据再判断。</x:v>
      </x:c>
      <x:c r="D23" s="70"/>
      <x:c r="E23" s="70"/>
      <x:c r="F23" s="70"/>
      <x:c r="G23" s="72" t="str">
        <x:v>检验闭环</x:v>
      </x:c>
      <x:c r="H23" s="72"/>
    </x:row>
    <x:row r="24" ht="40" customHeight="1">
      <x:c r="A24" s="60" t="str">
        <x:v>09场景走查</x:v>
      </x:c>
      <x:c r="B24" s="60"/>
      <x:c r="C24" s="62" t="str">
        <x:v>用诗词联结、写作修改和信息阅读三个情境检查逻辑。</x:v>
      </x:c>
      <x:c r="D24" s="62"/>
      <x:c r="E24" s="62"/>
      <x:c r="F24" s="62"/>
      <x:c r="G24" s="64" t="str">
        <x:v>桌面推演</x:v>
      </x:c>
      <x:c r="H24" s="64"/>
    </x:row>
    <x:row r="25" ht="40" customHeight="1">
      <x:c r="A25" s="67" t="str">
        <x:v>10试点验收</x:v>
      </x:c>
      <x:c r="B25" s="67"/>
      <x:c r="C25" s="70" t="str">
        <x:v>什么资料尚未具备，第一轮试点怎样判断真实减负与质量。</x:v>
      </x:c>
      <x:c r="D25" s="70"/>
      <x:c r="E25" s="70"/>
      <x:c r="F25" s="70"/>
      <x:c r="G25" s="72" t="str">
        <x:v>试点前看</x:v>
      </x:c>
      <x:c r="H25" s="72"/>
    </x:row>
    <x:row r="26" ht="40" customHeight="1">
      <x:c r="A26" s="60" t="str">
        <x:v>11来源依据</x:v>
      </x:c>
      <x:c r="B26" s="60"/>
      <x:c r="C26" s="62" t="str">
        <x:v>研究、课标、考试、学科资料和产品启发分别支持什么。</x:v>
      </x:c>
      <x:c r="D26" s="62"/>
      <x:c r="E26" s="62"/>
      <x:c r="F26" s="62"/>
      <x:c r="G26" s="64" t="str">
        <x:v>核查证据</x:v>
      </x:c>
      <x:c r="H26" s="64"/>
    </x:row>
    <x:row r="27" ht="10" customHeight="1">
      <x:c r="A27" s="36"/>
      <x:c r="B27" s="36"/>
      <x:c r="C27" s="36"/>
      <x:c r="D27" s="36"/>
      <x:c r="E27" s="36"/>
      <x:c r="F27" s="36"/>
      <x:c r="G27" s="36"/>
      <x:c r="H27" s="36"/>
    </x:row>
    <x:row r="28" ht="28" customHeight="1">
      <x:c r="A28" s="56" t="str">
        <x:v>必须保留的边界</x:v>
      </x:c>
      <x:c r="B28" s="56"/>
      <x:c r="C28" s="56"/>
      <x:c r="D28" s="56"/>
      <x:c r="E28" s="56"/>
      <x:c r="F28" s="56"/>
      <x:c r="G28" s="56"/>
      <x:c r="H28" s="56"/>
    </x:row>
    <x:row r="29" ht="43" customHeight="1">
      <x:c r="A29" s="62" t="str">
        <x:v>① 需求表是待讨论基线，不是已实现系统；高效联结、提分与节时均需真实课堂证据验证。</x:v>
      </x:c>
      <x:c r="B29" s="62"/>
      <x:c r="C29" s="62"/>
      <x:c r="D29" s="62"/>
      <x:c r="E29" s="62"/>
      <x:c r="F29" s="62"/>
      <x:c r="G29" s="62"/>
      <x:c r="H29" s="62"/>
    </x:row>
    <x:row r="30" ht="43" customHeight="1">
      <x:c r="A30" s="75" t="str">
        <x:v>② 课程框架以2022版为起始依据；本校适用文件、实际教材与逐条页码映射尚待补齐。2026考试仅核实总分120分、时长150分钟。</x:v>
      </x:c>
      <x:c r="B30" s="75"/>
      <x:c r="C30" s="75"/>
      <x:c r="D30" s="75"/>
      <x:c r="E30" s="75"/>
      <x:c r="F30" s="75"/>
      <x:c r="G30" s="75"/>
      <x:c r="H30" s="75"/>
    </x:row>
    <x:row r="31" ht="43" customHeight="1">
      <x:c r="A31" s="62" t="str">
        <x:v>③ 《梦游天姥吟留别》是方法例示，不自动列为初一必学；作品是否已学、后续是否必学、创作年代均不得猜测。</x:v>
      </x:c>
      <x:c r="B31" s="62"/>
      <x:c r="C31" s="62"/>
      <x:c r="D31" s="62"/>
      <x:c r="E31" s="62"/>
      <x:c r="F31" s="62"/>
      <x:c r="G31" s="62"/>
      <x:c r="H31" s="62"/>
    </x:row>
    <x:row r="32" ht="43" customHeight="1">
      <x:c r="A32" s="62" t="str">
        <x:v>④ 生成≠采用≠已教≠学会。原文、史实、解释、生成材料、学生证据分开；少量样本不能冒充全班比例。</x:v>
      </x:c>
      <x:c r="B32" s="62"/>
      <x:c r="C32" s="62"/>
      <x:c r="D32" s="62"/>
      <x:c r="E32" s="62"/>
      <x:c r="F32" s="62"/>
      <x:c r="G32" s="62"/>
      <x:c r="H32" s="62"/>
    </x:row>
    <x:row r="33" ht="43" customHeight="1">
      <x:c r="A33" s="62" t="str">
        <x:v>⑤ 真实成本包含教师阅读核对返工、学生全部必做时间及支持方维护。不得用隐性劳动换取表面一键完成。</x:v>
      </x:c>
      <x:c r="B33" s="62"/>
      <x:c r="C33" s="62"/>
      <x:c r="D33" s="62"/>
      <x:c r="E33" s="62"/>
      <x:c r="F33" s="62"/>
      <x:c r="G33" s="62"/>
      <x:c r="H33" s="62"/>
    </x:row>
    <x:row r="34">
      <x:c r="A34" s="36"/>
      <x:c r="B34" s="36"/>
      <x:c r="C34" s="36"/>
      <x:c r="D34" s="36"/>
      <x:c r="E34" s="36"/>
      <x:c r="F34" s="36"/>
      <x:c r="G34" s="36"/>
      <x:c r="H34" s="36"/>
    </x:row>
    <x:row r="35" ht="26" customHeight="1">
      <x:c r="A35" s="47" t="str">
        <x:v>必须级需求</x:v>
      </x:c>
      <x:c r="B35" s="47"/>
      <x:c r="C35" s="47"/>
      <x:c r="D35" s="47"/>
      <x:c r="E35" s="36" t="n">
        <x:f>COUNTIF('03业务需求'!I6:I65,"必须")</x:f>
        <x:v>57</x:v>
      </x:c>
      <x:c r="F35" s="36"/>
      <x:c r="G35" s="64" t="str">
        <x:v>项目约定，非研究阈值</x:v>
      </x:c>
      <x:c r="H35" s="64"/>
    </x:row>
    <x:row r="36" ht="26" customHeight="1">
      <x:c r="A36" s="47" t="str">
        <x:v>已讨论确认的需求</x:v>
      </x:c>
      <x:c r="B36" s="47"/>
      <x:c r="C36" s="47"/>
      <x:c r="D36" s="47"/>
      <x:c r="E36" s="36" t="n">
        <x:f>COUNTIF('03业务需求'!J6:J65,"已确认")</x:f>
        <x:v>0</x:v>
      </x:c>
      <x:c r="F36" s="36"/>
      <x:c r="G36" s="64" t="str">
        <x:v>当前默认0；可在需求表更新</x:v>
      </x:c>
      <x:c r="H36" s="64"/>
    </x:row>
    <x:row r="37">
      <x:c r="A37" s="36"/>
      <x:c r="B37" s="36"/>
      <x:c r="C37" s="36"/>
      <x:c r="D37" s="36"/>
      <x:c r="E37" s="36"/>
      <x:c r="F37" s="36"/>
      <x:c r="G37" s="36"/>
      <x:c r="H37" s="36"/>
    </x:row>
    <x:row r="38" ht="25" customHeight="1">
      <x:c r="A38" s="44" t="str">
        <x:v>建议的首次走查：选一个真实正在教学的单元，依次填写已有材料→核心学习目标→独立证据→必要联结→方法与任务→时间预算→教师确认→实际证据与修正。先验证这条链是否顺畅，再扩大资源范围。</x:v>
      </x:c>
      <x:c r="B38" s="44"/>
      <x:c r="C38" s="44"/>
      <x:c r="D38" s="44"/>
      <x:c r="E38" s="44"/>
      <x:c r="F38" s="44"/>
      <x:c r="G38" s="44"/>
      <x:c r="H38" s="44"/>
    </x:row>
    <x:row r="39" ht="25" customHeight="1">
      <x:c r="A39" s="44"/>
      <x:c r="B39" s="44"/>
      <x:c r="C39" s="44"/>
      <x:c r="D39" s="44"/>
      <x:c r="E39" s="44"/>
      <x:c r="F39" s="44"/>
      <x:c r="G39" s="44"/>
      <x:c r="H39" s="44"/>
    </x:row>
    <x:row r="40" ht="30" customHeight="1">
      <x:c r="A40" s="78" t="str">
        <x:v>编制日期：2026-09-19｜蓝色文字列为可选分类字段｜所有优先级与交互次数为设计目标，尚未经试点验证。</x:v>
      </x:c>
      <x:c r="B40" s="78"/>
      <x:c r="C40" s="78"/>
      <x:c r="D40" s="78"/>
      <x:c r="E40" s="78"/>
      <x:c r="F40" s="78"/>
      <x:c r="G40" s="78"/>
      <x:c r="H40" s="78"/>
    </x:row>
  </x:sheetData>
  <x:mergeCells>
    <x:mergeCell ref="A1:H1"/>
    <x:mergeCell ref="A2:H2"/>
    <x:mergeCell ref="A3:H3"/>
    <x:mergeCell ref="A5:B5"/>
    <x:mergeCell ref="A6:B7"/>
    <x:mergeCell ref="C5:D5"/>
    <x:mergeCell ref="C6:D7"/>
    <x:mergeCell ref="E5:F5"/>
    <x:mergeCell ref="E6:F7"/>
    <x:mergeCell ref="G5:H5"/>
    <x:mergeCell ref="G6:H7"/>
    <x:mergeCell ref="A9:H9"/>
    <x:mergeCell ref="A10:H12"/>
    <x:mergeCell ref="A13:H13"/>
    <x:mergeCell ref="A14:H14"/>
    <x:mergeCell ref="A15:B15"/>
    <x:mergeCell ref="C15:F15"/>
    <x:mergeCell ref="G15:H15"/>
    <x:mergeCell ref="A16:B16"/>
    <x:mergeCell ref="C16:F16"/>
    <x:mergeCell ref="G16:H16"/>
    <x:mergeCell ref="A17:B17"/>
    <x:mergeCell ref="C17:F17"/>
    <x:mergeCell ref="G17:H17"/>
    <x:mergeCell ref="A18:B18"/>
    <x:mergeCell ref="C18:F18"/>
    <x:mergeCell ref="G18:H18"/>
    <x:mergeCell ref="A19:B19"/>
    <x:mergeCell ref="C19:F19"/>
    <x:mergeCell ref="G19:H19"/>
    <x:mergeCell ref="A20:B20"/>
    <x:mergeCell ref="C20:F20"/>
    <x:mergeCell ref="G20:H20"/>
    <x:mergeCell ref="A21:B21"/>
    <x:mergeCell ref="C21:F21"/>
    <x:mergeCell ref="G21:H21"/>
    <x:mergeCell ref="A22:B22"/>
    <x:mergeCell ref="C22:F22"/>
    <x:mergeCell ref="G22:H22"/>
    <x:mergeCell ref="A23:B23"/>
    <x:mergeCell ref="C23:F23"/>
    <x:mergeCell ref="G23:H23"/>
    <x:mergeCell ref="A24:B24"/>
    <x:mergeCell ref="C24:F24"/>
    <x:mergeCell ref="G24:H24"/>
    <x:mergeCell ref="A25:B25"/>
    <x:mergeCell ref="C25:F25"/>
    <x:mergeCell ref="G25:H25"/>
    <x:mergeCell ref="A26:B26"/>
    <x:mergeCell ref="C26:F26"/>
    <x:mergeCell ref="G26:H26"/>
    <x:mergeCell ref="A28:H28"/>
    <x:mergeCell ref="A29:H29"/>
    <x:mergeCell ref="A30:H30"/>
    <x:mergeCell ref="A31:H31"/>
    <x:mergeCell ref="A32:H32"/>
    <x:mergeCell ref="A33:H33"/>
    <x:mergeCell ref="A35:D35"/>
    <x:mergeCell ref="E35:F35"/>
    <x:mergeCell ref="G35:H35"/>
    <x:mergeCell ref="A36:D36"/>
    <x:mergeCell ref="E36:F36"/>
    <x:mergeCell ref="G36:H36"/>
    <x:mergeCell ref="A38:H39"/>
    <x:mergeCell ref="A40:H4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8" hidden="0" customWidth="1"/>
    <x:col min="3" max="3" width="38" hidden="0" customWidth="1"/>
    <x:col min="4" max="4" width="29" hidden="0" customWidth="1"/>
    <x:col min="5" max="5" width="36" hidden="0" customWidth="1"/>
    <x:col min="6" max="6" width="23" hidden="0" customWidth="1"/>
    <x:col min="7" max="7" width="30" hidden="0" customWidth="1"/>
    <x:col min="8" max="8" width="21" hidden="0" customWidth="1"/>
    <x:col min="9" max="9" width="38" hidden="0" customWidth="1"/>
    <x:col min="10" max="10" width="17" hidden="0" customWidth="1"/>
    <x:col min="11" max="11" width="40" hidden="0" customWidth="1"/>
  </x:cols>
  <x:sheetData>
    <x:row r="1" ht="38" customHeight="1">
      <x:c r="A1" s="4" t="str">
        <x:v>输入不是教师问卷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</x:row>
    <x:row r="2">
      <x:c r="A2" s="11" t="str">
        <x:v>优先使用已存在和已授权材料；支持方整理，教师只确认关键未知。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</x:row>
    <x:row r="3">
      <x:c r="A3" s="11"/>
      <x:c r="B3" s="11"/>
      <x:c r="C3" s="11"/>
      <x:c r="D3" s="11"/>
      <x:c r="E3" s="11"/>
      <x:c r="F3" s="11"/>
      <x:c r="G3" s="11"/>
      <x:c r="H3" s="11"/>
      <x:c r="I3" s="11"/>
      <x:c r="J3" s="11"/>
      <x:c r="K3" s="11"/>
    </x:row>
    <x:row r="4" ht="10" customHeight="1"/>
    <x:row r="5" ht="33" customHeight="1">
      <x:c r="A5" s="25" t="str">
        <x:v>输入ID</x:v>
      </x:c>
      <x:c r="B5" s="25" t="str">
        <x:v>类别</x:v>
      </x:c>
      <x:c r="C5" s="25" t="str">
        <x:v>具体内容</x:v>
      </x:c>
      <x:c r="D5" s="25" t="str">
        <x:v>来源</x:v>
      </x:c>
      <x:c r="E5" s="25" t="str">
        <x:v>获取方式与责任</x:v>
      </x:c>
      <x:c r="F5" s="25" t="str">
        <x:v>更新时机</x:v>
      </x:c>
      <x:c r="G5" s="25" t="str">
        <x:v>必须保留的信息</x:v>
      </x:c>
      <x:c r="H5" s="25" t="str">
        <x:v>使用模块</x:v>
      </x:c>
      <x:c r="I5" s="25" t="str">
        <x:v>缺失处理</x:v>
      </x:c>
      <x:c r="J5" s="25" t="str">
        <x:v>依据ID</x:v>
      </x:c>
      <x:c r="K5" s="25" t="str">
        <x:v>主要来源URL</x:v>
      </x:c>
    </x:row>
    <x:row r="6" ht="50" customHeight="1">
      <x:c r="A6" s="30" t="str">
        <x:v>I01</x:v>
      </x:c>
      <x:c r="B6" s="18" t="str">
        <x:v>课程依据</x:v>
      </x:c>
      <x:c r="C6" s="18" t="str">
        <x:v>课标原文、适用学段、正式修订与学校口径</x:v>
      </x:c>
      <x:c r="D6" s="18" t="str">
        <x:v>公开官方文件＋学校确认</x:v>
      </x:c>
      <x:c r="E6" s="18" t="str">
        <x:v>资源支持方先整理；教师仅确认适用范围</x:v>
      </x:c>
      <x:c r="F6" s="18" t="str">
        <x:v>建档、文件变更</x:v>
      </x:c>
      <x:c r="G6" s="18" t="str">
        <x:v>版本/页码/条款/适用对象</x:v>
      </x:c>
      <x:c r="H6" s="18" t="str">
        <x:v>M02</x:v>
      </x:c>
      <x:c r="I6" s="18" t="str">
        <x:v>无原文则保留框架，不声称完成逐条映射</x:v>
      </x:c>
      <x:c r="J6" s="18" t="str">
        <x:v>S01</x:v>
      </x:c>
      <x:c r="K6" s="18" t="str">
        <x:v>https://www.moe.gov.cn/srcsite/A26/s8001/202204/t20220420_619921.html</x:v>
      </x:c>
    </x:row>
    <x:row r="7" ht="50" customHeight="1">
      <x:c r="A7" s="30" t="str">
        <x:v>I02</x:v>
      </x:c>
      <x:c r="B7" s="18" t="str">
        <x:v>教材与本课材料</x:v>
      </x:c>
      <x:c r="C7" s="18" t="str">
        <x:v>现用教材版次、目录、单元导语、课后任务、注释、教参</x:v>
      </x:c>
      <x:c r="D7" s="18" t="str">
        <x:v>实际教材及合法使用材料</x:v>
      </x:c>
      <x:c r="E7" s="18" t="str">
        <x:v>优先从现有材料提取；不让教师逐条录入</x:v>
      </x:c>
      <x:c r="F7" s="18" t="str">
        <x:v>建档、换教材、备课</x:v>
      </x:c>
      <x:c r="G7" s="18" t="str">
        <x:v>版本/页码/篇目/课程内或拓展</x:v>
      </x:c>
      <x:c r="H7" s="18" t="str">
        <x:v>M02/M03</x:v>
      </x:c>
      <x:c r="I7" s="18" t="str">
        <x:v>版本不清先确认，不能混用旧教案</x:v>
      </x:c>
      <x:c r="J7" s="18" t="str">
        <x:v>S01</x:v>
      </x:c>
      <x:c r="K7" s="18" t="str">
        <x:v>https://www.moe.gov.cn/srcsite/A26/s8001/202204/t20220420_619921.html</x:v>
      </x:c>
    </x:row>
    <x:row r="8" ht="57" customHeight="1">
      <x:c r="A8" s="30" t="str">
        <x:v>I03</x:v>
      </x:c>
      <x:c r="B8" s="18" t="str">
        <x:v>考试与评分资料</x:v>
      </x:c>
      <x:c r="C8" s="18" t="str">
        <x:v>年度官方要求、核实的江西真题与评分说明、学校既有试卷</x:v>
      </x:c>
      <x:c r="D8" s="18" t="str">
        <x:v>官方发布＋学校已有材料</x:v>
      </x:c>
      <x:c r="E8" s="18" t="str">
        <x:v>支持方核对来源、年份、题号和评分范围</x:v>
      </x:c>
      <x:c r="F8" s="18" t="str">
        <x:v>新年度、阶段评价前后</x:v>
      </x:c>
      <x:c r="G8" s="18" t="str">
        <x:v>考试年/适用届别/真实性/题型/评分口径</x:v>
      </x:c>
      <x:c r="H8" s="18" t="str">
        <x:v>M02/M07</x:v>
      </x:c>
      <x:c r="I8" s="18" t="str">
        <x:v>目前仅核实2026总分及时长；不硬编码分板块分值</x:v>
      </x:c>
      <x:c r="J8" s="18" t="str">
        <x:v>S02</x:v>
      </x:c>
      <x:c r="K8" s="18" t="str">
        <x:v>https://edu.ganzhou.gov.cn/gzsjyj/c102990/202605/ef4819efb15a45ccbc63fada20aea89b.shtml</x:v>
      </x:c>
    </x:row>
    <x:row r="9" ht="50" customHeight="1">
      <x:c r="A9" s="30" t="str">
        <x:v>I04</x:v>
      </x:c>
      <x:c r="B9" s="18" t="str">
        <x:v>课时与课堂条件</x:v>
      </x:c>
      <x:c r="C9" s="18" t="str">
        <x:v>每周课时、单节时长、进度安排、班额、打印/投影/图书条件</x:v>
      </x:c>
      <x:c r="D9" s="18" t="str">
        <x:v>现成课表、进度表；少量确认</x:v>
      </x:c>
      <x:c r="E9" s="18" t="str">
        <x:v>稳定项一次确认，临时变化才询问</x:v>
      </x:c>
      <x:c r="F9" s="18" t="str">
        <x:v>建档、变化发生</x:v>
      </x:c>
      <x:c r="G9" s="18" t="str">
        <x:v>生效日期/来源/已确认或待确认</x:v>
      </x:c>
      <x:c r="H9" s="18" t="str">
        <x:v>M01/M08</x:v>
      </x:c>
      <x:c r="I9" s="18" t="str">
        <x:v>无设备时提供不依赖设备的替代；不猜课长</x:v>
      </x:c>
      <x:c r="J9" s="18" t="str">
        <x:v>项目约定</x:v>
      </x:c>
      <x:c r="K9" s="18" t="str"/>
    </x:row>
    <x:row r="10" ht="50" customHeight="1">
      <x:c r="A10" s="30" t="str">
        <x:v>I05</x:v>
      </x:c>
      <x:c r="B10" s="18" t="str">
        <x:v>教师偏好与边界</x:v>
      </x:c>
      <x:c r="C10" s="18" t="str">
        <x:v>少填表、单方案、少作业、教学风格、学校提交格式、隐私权限</x:v>
      </x:c>
      <x:c r="D10" s="18" t="str">
        <x:v>用户已述＋教师确认</x:v>
      </x:c>
      <x:c r="E10" s="18" t="str">
        <x:v>已知不重问；可随时纠正和撤回</x:v>
      </x:c>
      <x:c r="F10" s="18" t="str">
        <x:v>首次、主动变更</x:v>
      </x:c>
      <x:c r="G10" s="18" t="str">
        <x:v>稳定偏好/临时要求/授权范围</x:v>
      </x:c>
      <x:c r="H10" s="18" t="str">
        <x:v>M01/M09/M10</x:v>
      </x:c>
      <x:c r="I10" s="18" t="str">
        <x:v>偏好不能覆盖内容准确、安全和课程底线</x:v>
      </x:c>
      <x:c r="J10" s="18" t="str">
        <x:v>项目约定</x:v>
      </x:c>
      <x:c r="K10" s="18" t="str"/>
    </x:row>
    <x:row r="11" ht="50" customHeight="1">
      <x:c r="A11" s="30" t="str">
        <x:v>I06</x:v>
      </x:c>
      <x:c r="B11" s="18" t="str">
        <x:v>已确认教学轨迹</x:v>
      </x:c>
      <x:c r="C11" s="18" t="str">
        <x:v>实际已教、未完成、已接触作品、尚未知内容、历史方案版本</x:v>
      </x:c>
      <x:c r="D11" s="18" t="str">
        <x:v>教师确认或现有教学记录</x:v>
      </x:c>
      <x:c r="E11" s="18" t="str">
        <x:v>采用方案不自动改为已教完</x:v>
      </x:c>
      <x:c r="F11" s="18" t="str">
        <x:v>每课可选确认、单元切换</x:v>
      </x:c>
      <x:c r="G11" s="18" t="str">
        <x:v>生成/采用/已教/已观察分开</x:v>
      </x:c>
      <x:c r="H11" s="18" t="str">
        <x:v>M01/M04/M05</x:v>
      </x:c>
      <x:c r="I11" s="18" t="str">
        <x:v>未确认则标未知，后续作品不冒称必学或已学</x:v>
      </x:c>
      <x:c r="J11" s="18" t="str">
        <x:v>项目约定</x:v>
      </x:c>
      <x:c r="K11" s="18" t="str"/>
    </x:row>
    <x:row r="12" ht="57" customHeight="1">
      <x:c r="A12" s="30" t="str">
        <x:v>I07</x:v>
      </x:c>
      <x:c r="B12" s="18" t="str">
        <x:v>现有学情证据</x:v>
      </x:c>
      <x:c r="C12" s="18" t="str">
        <x:v>匿名作答、习作、课堂独立任务、正常考试、可选教师反馈</x:v>
      </x:c>
      <x:c r="D12" s="18" t="str">
        <x:v>已存在、授权可用的材料</x:v>
      </x:c>
      <x:c r="E12" s="18" t="str">
        <x:v>不要求每天全量扫描或另考一次</x:v>
      </x:c>
      <x:c r="F12" s="18" t="str">
        <x:v>有材料或决策确需时</x:v>
      </x:c>
      <x:c r="G12" s="18" t="str">
        <x:v>时间/任务/提示程度/样本覆盖/评分口径</x:v>
      </x:c>
      <x:c r="H12" s="18" t="str">
        <x:v>M04/M07/M11</x:v>
      </x:c>
      <x:c r="I12" s="18" t="str">
        <x:v>典型样本仅解释困难，不估计全班比例</x:v>
      </x:c>
      <x:c r="J12" s="18" t="str">
        <x:v>S11</x:v>
      </x:c>
      <x:c r="K12" s="18" t="str">
        <x:v>https://www.testingstandards.net/uploads/7/6/6/4/76643089/standards_2014edition.pdf</x:v>
      </x:c>
    </x:row>
    <x:row r="13" ht="50" customHeight="1">
      <x:c r="A13" s="30" t="str">
        <x:v>I08</x:v>
      </x:c>
      <x:c r="B13" s="18" t="str">
        <x:v>文学与文化资料</x:v>
      </x:c>
      <x:c r="C13" s="18" t="str">
        <x:v>作品原文、可靠注释、作者经历、创作背景、相关作品</x:v>
      </x:c>
      <x:c r="D13" s="18" t="str">
        <x:v>可靠原文/出版物/研究；合法获取</x:v>
      </x:c>
      <x:c r="E13" s="18" t="str">
        <x:v>支持方核对，教师主要审教学取舍</x:v>
      </x:c>
      <x:c r="F13" s="18" t="str">
        <x:v>内容需要时</x:v>
      </x:c>
      <x:c r="G13" s="18" t="str">
        <x:v>事实/有争议说法/解释；来源位置</x:v>
      </x:c>
      <x:c r="H13" s="18" t="str">
        <x:v>M03/M05</x:v>
      </x:c>
      <x:c r="I13" s="18" t="str">
        <x:v>无法核实的背景删去或标假设，不用传说支撑结论</x:v>
      </x:c>
      <x:c r="J13" s="18" t="str">
        <x:v>S12;S13</x:v>
      </x:c>
      <x:c r="K13" s="18" t="str">
        <x:v>https://www.pep.com.cn/bks/kcjcjf/xszh/202503/W020250407394952554339.pdf</x:v>
      </x:c>
    </x:row>
    <x:row r="14" ht="50" customHeight="1">
      <x:c r="A14" s="30" t="str">
        <x:v>I09</x:v>
      </x:c>
      <x:c r="B14" s="18" t="str">
        <x:v>方法与课例资料</x:v>
      </x:c>
      <x:c r="C14" s="18" t="str">
        <x:v>方法适用条件、研究支持及限制、学科课例、已用失败记录</x:v>
      </x:c>
      <x:c r="D14" s="18" t="str">
        <x:v>研究机构指南、教研成果、本班记录</x:v>
      </x:c>
      <x:c r="E14" s="18" t="str">
        <x:v>支持方维护；不要求教师背理论或选术语</x:v>
      </x:c>
      <x:c r="F14" s="18" t="str">
        <x:v>建库、复核、发现失效</x:v>
      </x:c>
      <x:c r="G14" s="18" t="str">
        <x:v>研究/学科经验/本项目假设分层</x:v>
      </x:c>
      <x:c r="H14" s="18" t="str">
        <x:v>M06/M10/M12</x:v>
      </x:c>
      <x:c r="I14" s="18" t="str">
        <x:v>不以流行程度或多个AI赞同代替证据</x:v>
      </x:c>
      <x:c r="J14" s="18" t="str">
        <x:v>S04;S06;S07;S08;S09</x:v>
      </x:c>
      <x:c r="K14" s="18" t="str">
        <x:v>https://www.nationalacademies.org/read/24783/chapter/7</x:v>
      </x:c>
    </x:row>
    <x:row r="15" ht="50" customHeight="1">
      <x:c r="A15" s="30" t="str">
        <x:v>I10</x:v>
      </x:c>
      <x:c r="B15" s="18" t="str">
        <x:v>实际实施与临时变化</x:v>
      </x:c>
      <x:c r="C15" s="18" t="str">
        <x:v>临时缩课、学生未完成预习、设备不可用、课堂调整、选填反馈</x:v>
      </x:c>
      <x:c r="D15" s="18" t="str">
        <x:v>教师少量选择或现有记录</x:v>
      </x:c>
      <x:c r="E15" s="18" t="str">
        <x:v>只问会改变方案的关键问题</x:v>
      </x:c>
      <x:c r="F15" s="18" t="str">
        <x:v>变化或有反馈时</x:v>
      </x:c>
      <x:c r="G15" s="18" t="str">
        <x:v>事实/观察范围/未知；不记录不代表成功</x:v>
      </x:c>
      <x:c r="H15" s="18" t="str">
        <x:v>M08/M11/M12</x:v>
      </x:c>
      <x:c r="I15" s="18" t="str">
        <x:v>提供保守默认或暂缓关键环节，不编造现场情况</x:v>
      </x:c>
      <x:c r="J15" s="18" t="str">
        <x:v>项目约定</x:v>
      </x:c>
      <x:c r="K15" s="18" t="str"/>
    </x:row>
  </x:sheetData>
  <x:mergeCells>
    <x:mergeCell ref="A1:K1"/>
    <x:mergeCell ref="A2:K3"/>
  </x:mergeCells>
  <x:pageMargins left="0.7" right="0.7" top="0.75" bottom="0.75" header="0.3" footer="0.3"/>
  <x:tableParts count="1">
    <x:tablePart xmlns:r="http://schemas.openxmlformats.org/officeDocument/2006/relationships" r:id="R10b3a35241f24786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25" hidden="0" customWidth="1"/>
    <x:col min="3" max="3" width="33" hidden="0" customWidth="1"/>
    <x:col min="4" max="4" width="40" hidden="0" customWidth="1"/>
    <x:col min="5" max="5" width="28" hidden="0" customWidth="1"/>
    <x:col min="6" max="6" width="30" hidden="0" customWidth="1"/>
    <x:col min="7" max="7" width="36" hidden="0" customWidth="1"/>
    <x:col min="8" max="8" width="30" hidden="0" customWidth="1"/>
    <x:col min="9" max="9" width="39" hidden="0" customWidth="1"/>
  </x:cols>
  <x:sheetData>
    <x:row r="1" ht="38" customHeight="1">
      <x:c r="A1" s="4" t="str">
        <x:v>12个业务模块的协作关系</x:v>
      </x:c>
      <x:c r="B1" s="4"/>
      <x:c r="C1" s="4"/>
      <x:c r="D1" s="4"/>
      <x:c r="E1" s="4"/>
      <x:c r="F1" s="4"/>
      <x:c r="G1" s="4"/>
      <x:c r="H1" s="4"/>
      <x:c r="I1" s="4"/>
    </x:row>
    <x:row r="2">
      <x:c r="A2" s="11" t="str">
        <x:v>模块代表业务职责，不意味着必须由独立系统、数据库或多个AI分别实现。</x:v>
      </x:c>
      <x:c r="B2" s="11"/>
      <x:c r="C2" s="11"/>
      <x:c r="D2" s="11"/>
      <x:c r="E2" s="11"/>
      <x:c r="F2" s="11"/>
      <x:c r="G2" s="11"/>
      <x:c r="H2" s="11"/>
      <x:c r="I2" s="11"/>
    </x:row>
    <x:row r="3">
      <x:c r="A3" s="11"/>
      <x:c r="B3" s="11"/>
      <x:c r="C3" s="11"/>
      <x:c r="D3" s="11"/>
      <x:c r="E3" s="11"/>
      <x:c r="F3" s="11"/>
      <x:c r="G3" s="11"/>
      <x:c r="H3" s="11"/>
      <x:c r="I3" s="11"/>
    </x:row>
    <x:row r="4" ht="10" customHeight="1"/>
    <x:row r="5" ht="33" customHeight="1">
      <x:c r="A5" s="25" t="str">
        <x:v>模块</x:v>
      </x:c>
      <x:c r="B5" s="25" t="str">
        <x:v>业务职责</x:v>
      </x:c>
      <x:c r="C5" s="25" t="str">
        <x:v>输入</x:v>
      </x:c>
      <x:c r="D5" s="25" t="str">
        <x:v>核心决定/动作</x:v>
      </x:c>
      <x:c r="E5" s="25" t="str">
        <x:v>输出</x:v>
      </x:c>
      <x:c r="F5" s="25" t="str">
        <x:v>交给谁</x:v>
      </x:c>
      <x:c r="G5" s="25" t="str">
        <x:v>退回条件</x:v>
      </x:c>
      <x:c r="H5" s="25" t="str">
        <x:v>教师参与</x:v>
      </x:c>
      <x:c r="I5" s="25" t="str">
        <x:v>验收要点</x:v>
      </x:c>
    </x:row>
    <x:row r="6" ht="50" customHeight="1">
      <x:c r="A6" s="30" t="str">
        <x:v>M01</x:v>
      </x:c>
      <x:c r="B6" s="18" t="str">
        <x:v>任务与约束确认</x:v>
      </x:c>
      <x:c r="C6" s="18" t="str">
        <x:v>I04/I05/I06/I10；本次篇目或进度</x:v>
      </x:c>
      <x:c r="D6" s="18" t="str">
        <x:v>确认备什么、给谁、课时与边界；只补决定性未知</x:v>
      </x:c>
      <x:c r="E6" s="18" t="str">
        <x:v>O01 任务卡</x:v>
      </x:c>
      <x:c r="F6" s="18" t="str">
        <x:v>M02/M03/M04</x:v>
      </x:c>
      <x:c r="G6" s="18" t="str">
        <x:v>关键前提未知或任务不一致时返问一次</x:v>
      </x:c>
      <x:c r="H6" s="18" t="str">
        <x:v>通常直接采用已有信息</x:v>
      </x:c>
      <x:c r="I6" s="18" t="str">
        <x:v>不反复询问已确认信息；不把采用当实施</x:v>
      </x:c>
    </x:row>
    <x:row r="7" ht="50" customHeight="1">
      <x:c r="A7" s="30" t="str">
        <x:v>M02</x:v>
      </x:c>
      <x:c r="B7" s="18" t="str">
        <x:v>课标·教材·考试对齐</x:v>
      </x:c>
      <x:c r="C7" s="18" t="str">
        <x:v>O01；I01/I02/I03</x:v>
      </x:c>
      <x:c r="D7" s="18" t="str">
        <x:v>建立学期—单元—课时覆盖；区分课程目标、学习证据与考查形式</x:v>
      </x:c>
      <x:c r="E7" s="18" t="str">
        <x:v>O02 对齐与进阶蓝图</x:v>
      </x:c>
      <x:c r="F7" s="18" t="str">
        <x:v>M03/M05/M06/M07/M08</x:v>
      </x:c>
      <x:c r="G7" s="18" t="str">
        <x:v>版本变化、目标漂移、覆盖缺口返回本模块</x:v>
      </x:c>
      <x:c r="H7" s="18" t="str">
        <x:v>单元层面一次确认，例外才改</x:v>
      </x:c>
      <x:c r="I7" s="18" t="str">
        <x:v>目标有依据；考试只是评价约束，不删减审美与完整阅读</x:v>
      </x:c>
    </x:row>
    <x:row r="8" ht="50" customHeight="1">
      <x:c r="A8" s="30" t="str">
        <x:v>M03</x:v>
      </x:c>
      <x:c r="B8" s="18" t="str">
        <x:v>内容解读与事实核对</x:v>
      </x:c>
      <x:c r="C8" s="18" t="str">
        <x:v>O01/O02；I02/I08</x:v>
      </x:c>
      <x:c r="D8" s="18" t="str">
        <x:v>按文体解读语言、结构、形象、观点与背景，区分事实和解释</x:v>
      </x:c>
      <x:c r="E8" s="18" t="str">
        <x:v>O03 文本与资源依据包</x:v>
      </x:c>
      <x:c r="F8" s="18" t="str">
        <x:v>M05/M06/M07/M10</x:v>
      </x:c>
      <x:c r="G8" s="18" t="str">
        <x:v>原文/背景/引文错误返回修正</x:v>
      </x:c>
      <x:c r="H8" s="18" t="str">
        <x:v>查看关键文本与陌生资料，不逐条搜资料</x:v>
      </x:c>
      <x:c r="I8" s="18" t="str">
        <x:v>原文可定位；自拟明确；开放解释有文本依据</x:v>
      </x:c>
    </x:row>
    <x:row r="9" ht="50" customHeight="1">
      <x:c r="A9" s="30" t="str">
        <x:v>M04</x:v>
      </x:c>
      <x:c r="B9" s="18" t="str">
        <x:v>学情证据与缺口</x:v>
      </x:c>
      <x:c r="C9" s="18" t="str">
        <x:v>O01；I06/I07</x:v>
      </x:c>
      <x:c r="D9" s="18" t="str">
        <x:v>标记已知/未知，分析词句、情境、方法和表达等可能瓶颈</x:v>
      </x:c>
      <x:c r="E9" s="18" t="str">
        <x:v>O04 学情证据简报</x:v>
      </x:c>
      <x:c r="F9" s="18" t="str">
        <x:v>M05/M06/M07/M08</x:v>
      </x:c>
      <x:c r="G9" s="18" t="str">
        <x:v>证据过时、样本偏差、前提不足返回确认</x:v>
      </x:c>
      <x:c r="H9" s="18" t="str">
        <x:v>必要时一道题；可选不确定</x:v>
      </x:c>
      <x:c r="I9" s="18" t="str">
        <x:v>不生成伪精确掌握率或稳定学生标签</x:v>
      </x:c>
    </x:row>
    <x:row r="10" ht="50" customHeight="1">
      <x:c r="A10" s="30" t="str">
        <x:v>M05</x:v>
      </x:c>
      <x:c r="B10" s="18" t="str">
        <x:v>学习联结与螺旋进阶</x:v>
      </x:c>
      <x:c r="C10" s="18" t="str">
        <x:v>O02/O03/O04；I06/I08</x:v>
      </x:c>
      <x:c r="D10" s="18" t="str">
        <x:v>选择有依据的跨篇、跨时和读写联系；区分三条时间线</x:v>
      </x:c>
      <x:c r="E10" s="18" t="str">
        <x:v>O05 联结卡与复现安排</x:v>
      </x:c>
      <x:c r="F10" s="18" t="str">
        <x:v>M06/M07/M08</x:v>
      </x:c>
      <x:c r="G10" s="18" t="str">
        <x:v>牵强、未经学习确认、超负荷、无学习任务则删改</x:v>
      </x:c>
      <x:c r="H10" s="18" t="str">
        <x:v>仅对关键已学/未学确认；不从几十篇中挑</x:v>
      </x:c>
      <x:c r="I10" s="18" t="str">
        <x:v>每条联系说明价值、学生动作、证据、成本、返回本篇方式</x:v>
      </x:c>
    </x:row>
    <x:row r="11" ht="50" customHeight="1">
      <x:c r="A11" s="30" t="str">
        <x:v>M06</x:v>
      </x:c>
      <x:c r="B11" s="18" t="str">
        <x:v>方法选择与活动设计</x:v>
      </x:c>
      <x:c r="C11" s="18" t="str">
        <x:v>O02/O03/O04/O05；I09</x:v>
      </x:c>
      <x:c r="D11" s="18" t="str">
        <x:v>按课型与困难选方法；示范—支持—独立；兴趣与方法嵌入内容</x:v>
      </x:c>
      <x:c r="E11" s="18" t="str">
        <x:v>O06 方法与活动方案</x:v>
      </x:c>
      <x:c r="F11" s="18" t="str">
        <x:v>与M07共同设计，再送M08</x:v>
      </x:c>
      <x:c r="G11" s="18" t="str">
        <x:v>活动不产生目标证据或学生被动旁观时返回</x:v>
      </x:c>
      <x:c r="H11" s="18" t="str">
        <x:v>教师看具体行动，不必选理论名称</x:v>
      </x:c>
      <x:c r="I11" s="18" t="str">
        <x:v>方法有适用条件，保留个人思考、朗读/写作/交流机会</x:v>
      </x:c>
    </x:row>
    <x:row r="12" ht="50" customHeight="1">
      <x:c r="A12" s="30" t="str">
        <x:v>M07</x:v>
      </x:c>
      <x:c r="B12" s="18" t="str">
        <x:v>学习证据与应考设计</x:v>
      </x:c>
      <x:c r="C12" s="18" t="str">
        <x:v>O02/O03/O04/O05/O06；I03</x:v>
      </x:c>
      <x:c r="D12" s="18" t="str">
        <x:v>先确定成功表现，再设计任务、答案范围、审题与时间策略</x:v>
      </x:c>
      <x:c r="E12" s="18" t="str">
        <x:v>O07 任务·标准·应考对照</x:v>
      </x:c>
      <x:c r="F12" s="18" t="str">
        <x:v>与M06互校，再送M08/M10</x:v>
      </x:c>
      <x:c r="G12" s="18" t="str">
        <x:v>题目歧义、评分不一致、提示过强或目标错位时返回</x:v>
      </x:c>
      <x:c r="H12" s="18" t="str">
        <x:v>开放题关键范围供审阅，不逐题重复标注</x:v>
      </x:c>
      <x:c r="I12" s="18" t="str">
        <x:v>不拿原题复述证明迁移，不用单一模板压平文体差异</x:v>
      </x:c>
    </x:row>
    <x:row r="13" ht="50" customHeight="1">
      <x:c r="A13" s="30" t="str">
        <x:v>M08</x:v>
      </x:c>
      <x:c r="B13" s="18" t="str">
        <x:v>单元/课时编排与减负</x:v>
      </x:c>
      <x:c r="C13" s="18" t="str">
        <x:v>O01/O02/O05/O06/O07</x:v>
      </x:c>
      <x:c r="D13" s="18" t="str">
        <x:v>统筹先后、时间、支持层次、必要复现与课外替代</x:v>
      </x:c>
      <x:c r="E13" s="18" t="str">
        <x:v>O08 可执行课堂方案</x:v>
      </x:c>
      <x:c r="F13" s="18" t="str">
        <x:v>M09/M10</x:v>
      </x:c>
      <x:c r="G13" s="18" t="str">
        <x:v>超时、过多联结、增加无效负担，退回M05/M06/M07</x:v>
      </x:c>
      <x:c r="H13" s="18" t="str">
        <x:v>通常一键采用；改课时/难度才选</x:v>
      </x:c>
      <x:c r="I13" s="18" t="str">
        <x:v>学生读想写改均计时；保留独立任务；材料有设备替代</x:v>
      </x:c>
    </x:row>
    <x:row r="14" ht="50" customHeight="1">
      <x:c r="A14" s="30" t="str">
        <x:v>M09</x:v>
      </x:c>
      <x:c r="B14" s="18" t="str">
        <x:v>材料交付与教师确认</x:v>
      </x:c>
      <x:c r="C14" s="18" t="str">
        <x:v>O03/O07/O08；教师修改</x:v>
      </x:c>
      <x:c r="D14" s="18" t="str">
        <x:v>交付单一默认方案、关键材料及预案；同步修改与版本留档</x:v>
      </x:c>
      <x:c r="E14" s="18" t="str">
        <x:v>O09 一致的备课成果包</x:v>
      </x:c>
      <x:c r="F14" s="18" t="str">
        <x:v>草稿送M10，通过后给教师与课堂；记录给M11</x:v>
      </x:c>
      <x:c r="G14" s="18" t="str">
        <x:v>课件/教案/任务矛盾或不适配，定点返回相关模块</x:v>
      </x:c>
      <x:c r="H14" s="18" t="str">
        <x:v>采用/只改一处/改任务；课后反馈可不做</x:v>
      </x:c>
      <x:c r="I14" s="18" t="str">
        <x:v>不是三套长教案让教师挑；学校提交格式不另抄</x:v>
      </x:c>
    </x:row>
    <x:row r="15" ht="50" customHeight="1">
      <x:c r="A15" s="30" t="str">
        <x:v>M10</x:v>
      </x:c>
      <x:c r="B15" s="18" t="str">
        <x:v>质量审查</x:v>
      </x:c>
      <x:c r="C15" s="18" t="str">
        <x:v>O01—O09；来源与规则</x:v>
      </x:c>
      <x:c r="D15" s="18" t="str">
        <x:v>检查内容底线、目标任务一致性、评分、负担和来源；问题分级</x:v>
      </x:c>
      <x:c r="E15" s="18" t="str">
        <x:v>O10 审查结论与定点修改单</x:v>
      </x:c>
      <x:c r="F15" s="18" t="str">
        <x:v>M09交付或返回M02—M08</x:v>
      </x:c>
      <x:c r="G15" s="18" t="str">
        <x:v>关键错误暂缓使用；一般问题先修正；未知保留</x:v>
      </x:c>
      <x:c r="H15" s="18" t="str">
        <x:v>只呈现影响教学的关键异常</x:v>
      </x:c>
      <x:c r="I15" s="18" t="str">
        <x:v>可以试用≠有效；不以一个综合分掩盖硬错误</x:v>
      </x:c>
    </x:row>
    <x:row r="16" ht="50" customHeight="1">
      <x:c r="A16" s="30" t="str">
        <x:v>M11</x:v>
      </x:c>
      <x:c r="B16" s="18" t="str">
        <x:v>课堂反馈与归因</x:v>
      </x:c>
      <x:c r="C16" s="18" t="str">
        <x:v>已确认实施；I07/I10；O07/O09</x:v>
      </x:c>
      <x:c r="D16" s="18" t="str">
        <x:v>区分实际表现和缺失；先查测量，再形成可检验原因假设</x:v>
      </x:c>
      <x:c r="E16" s="18" t="str">
        <x:v>O11 证据与偏差简报</x:v>
      </x:c>
      <x:c r="F16" s="18" t="str">
        <x:v>M12；必要时M07先修尺子</x:v>
      </x:c>
      <x:c r="G16" s="18" t="str">
        <x:v>题目、评分、抽样或条件不匹配先回M07</x:v>
      </x:c>
      <x:c r="H16" s="18" t="str">
        <x:v>一题可选反馈，必要时多一问</x:v>
      </x:c>
      <x:c r="I16" s="18" t="str">
        <x:v>课堂调整不是违规；无反馈不默认成功</x:v>
      </x:c>
    </x:row>
    <x:row r="17" ht="50" customHeight="1">
      <x:c r="A17" s="30" t="str">
        <x:v>M12</x:v>
      </x:c>
      <x:c r="B17" s="18" t="str">
        <x:v>纠正·验证·复用</x:v>
      </x:c>
      <x:c r="C17" s="18" t="str">
        <x:v>O11/O10；成本与旧版本</x:v>
      </x:c>
      <x:c r="D17" s="18" t="str">
        <x:v>选择最小替换，说明预期证据和否定条件；观察后保留/修改/撤回</x:v>
      </x:c>
      <x:c r="E17" s="18" t="str">
        <x:v>O12 改进卡与更新记录</x:v>
      </x:c>
      <x:c r="F17" s="18" t="str">
        <x:v>按原因回M02—M09，补I06/I09</x:v>
      </x:c>
      <x:c r="G17" s="18" t="str">
        <x:v>无改善或增加负担则回退；来源错即修，不等待趋势</x:v>
      </x:c>
      <x:c r="H17" s="18" t="str">
        <x:v>关键变动确认，其他更新提供差异摘要</x:v>
      </x:c>
      <x:c r="I17" s="18" t="str">
        <x:v>用正常学习任务验证；不把一次采用/一次进步说成因果证明</x:v>
      </x:c>
    </x:row>
  </x:sheetData>
  <x:mergeCells>
    <x:mergeCell ref="A1:I1"/>
    <x:mergeCell ref="A2:I3"/>
  </x:mergeCells>
  <x:pageMargins left="0.7" right="0.7" top="0.75" bottom="0.75" header="0.3" footer="0.3"/>
  <x:tableParts count="1">
    <x:tablePart xmlns:r="http://schemas.openxmlformats.org/officeDocument/2006/relationships" r:id="Ra1c6aa6c27924334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1" hidden="0" customWidth="1"/>
    <x:col min="3" max="3" width="28" hidden="0" customWidth="1"/>
    <x:col min="4" max="4" width="31" hidden="0" customWidth="1"/>
    <x:col min="5" max="5" width="40" hidden="0" customWidth="1"/>
    <x:col min="6" max="6" width="29" hidden="0" customWidth="1"/>
    <x:col min="7" max="7" width="31" hidden="0" customWidth="1"/>
    <x:col min="8" max="8" width="40" hidden="0" customWidth="1"/>
    <x:col min="9" max="9" width="13" hidden="0" customWidth="1"/>
    <x:col min="10" max="10" width="16" hidden="0" customWidth="1"/>
    <x:col min="11" max="11" width="22" hidden="0" customWidth="1"/>
    <x:col min="12" max="12" width="40" hidden="0" customWidth="1"/>
  </x:cols>
  <x:sheetData>
    <x:row r="1" ht="38" customHeight="1">
      <x:c r="A1" s="4" t="str">
        <x:v>60条业务需求｜V0.1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2">
      <x:c r="A2" s="11" t="str">
        <x:v>这是待讨论的需求基线，不是已开发功能清单。I/J列可选择优先级与讨论状态；依据详情见11来源依据。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</x:row>
    <x:row r="3">
      <x:c r="A3" s="11"/>
      <x:c r="B3" s="11"/>
      <x:c r="C3" s="11"/>
      <x:c r="D3" s="11"/>
      <x:c r="E3" s="11"/>
      <x:c r="F3" s="11"/>
      <x:c r="G3" s="11"/>
      <x:c r="H3" s="11"/>
      <x:c r="I3" s="11"/>
      <x:c r="J3" s="11"/>
      <x:c r="K3" s="11"/>
      <x:c r="L3" s="11"/>
    </x:row>
    <x:row r="4" ht="10" customHeight="1"/>
    <x:row r="5" ht="33" customHeight="1">
      <x:c r="A5" s="25" t="str">
        <x:v>需求ID</x:v>
      </x:c>
      <x:c r="B5" s="25" t="str">
        <x:v>模块</x:v>
      </x:c>
      <x:c r="C5" s="25" t="str">
        <x:v>需求名称</x:v>
      </x:c>
      <x:c r="D5" s="25" t="str">
        <x:v>触发/输入</x:v>
      </x:c>
      <x:c r="E5" s="25" t="str">
        <x:v>业务规则</x:v>
      </x:c>
      <x:c r="F5" s="25" t="str">
        <x:v>交付/下游</x:v>
      </x:c>
      <x:c r="G5" s="25" t="str">
        <x:v>教师动作</x:v>
      </x:c>
      <x:c r="H5" s="25" t="str">
        <x:v>验收条件</x:v>
      </x:c>
      <x:c r="I5" s="25" t="str">
        <x:v>优先级</x:v>
      </x:c>
      <x:c r="J5" s="25" t="str">
        <x:v>讨论状态</x:v>
      </x:c>
      <x:c r="K5" s="25" t="str">
        <x:v>依据ID</x:v>
      </x:c>
      <x:c r="L5" s="25" t="str">
        <x:v>主要来源URL</x:v>
      </x:c>
    </x:row>
    <x:row r="6" ht="50" customHeight="1">
      <x:c r="A6" s="30" t="str">
        <x:v>R001</x:v>
      </x:c>
      <x:c r="B6" s="18" t="str">
        <x:v>M01</x:v>
      </x:c>
      <x:c r="C6" s="18" t="str">
        <x:v>任务以实际备课为中心</x:v>
      </x:c>
      <x:c r="D6" s="18" t="str">
        <x:v>当前篇目/单元、已确认进度</x:v>
      </x:c>
      <x:c r="E6" s="18" t="str">
        <x:v>先识别本次要备单元、课时或讲评；生成计划、教师采用、实际已教分开记录。</x:v>
      </x:c>
      <x:c r="F6" s="18" t="str">
        <x:v>O01→M02/M03/M04</x:v>
      </x:c>
      <x:c r="G6" s="18" t="str">
        <x:v>通常确认推荐任务</x:v>
      </x:c>
      <x:c r="H6" s="18" t="str">
        <x:v>生成一课但未上课时，后续不得显示已教完。</x:v>
      </x:c>
      <x:c r="I6" s="32" t="str">
        <x:v>必须</x:v>
      </x:c>
      <x:c r="J6" s="32" t="str">
        <x:v>待讨论</x:v>
      </x:c>
      <x:c r="K6" s="18" t="str">
        <x:v>项目设计约定</x:v>
      </x:c>
      <x:c r="L6" s="18" t="str"/>
    </x:row>
    <x:row r="7" ht="50" customHeight="1">
      <x:c r="A7" s="30" t="str">
        <x:v>R002</x:v>
      </x:c>
      <x:c r="B7" s="18" t="str">
        <x:v>M01</x:v>
      </x:c>
      <x:c r="C7" s="18" t="str">
        <x:v>稳定信息一次确认</x:v>
      </x:c>
      <x:c r="D7" s="18" t="str">
        <x:v>教材、课长、资源条件、稳定偏好</x:v>
      </x:c>
      <x:c r="E7" s="18" t="str">
        <x:v>沿用有效版本；已有信息不重问；过期或变更时才确认。</x:v>
      </x:c>
      <x:c r="F7" s="18" t="str">
        <x:v>O01→M08/M09</x:v>
      </x:c>
      <x:c r="G7" s="18" t="str">
        <x:v>仅纠正不准确项</x:v>
      </x:c>
      <x:c r="H7" s="18" t="str">
        <x:v>连续备课不得重复询问学校、年级、已确认课长。</x:v>
      </x:c>
      <x:c r="I7" s="32" t="str">
        <x:v>必须</x:v>
      </x:c>
      <x:c r="J7" s="32" t="str">
        <x:v>待讨论</x:v>
      </x:c>
      <x:c r="K7" s="18" t="str">
        <x:v>项目设计约定</x:v>
      </x:c>
      <x:c r="L7" s="18" t="str"/>
    </x:row>
    <x:row r="8" ht="57" customHeight="1">
      <x:c r="A8" s="30" t="str">
        <x:v>R003</x:v>
      </x:c>
      <x:c r="B8" s="18" t="str">
        <x:v>M01</x:v>
      </x:c>
      <x:c r="C8" s="18" t="str">
        <x:v>最少选择与无强制填报</x:v>
      </x:c>
      <x:c r="D8" s="18" t="str">
        <x:v>O01、拟定方案</x:v>
      </x:c>
      <x:c r="E8" s="18" t="str">
        <x:v>默认一套完整方案；常规课前以一次采用为目标；课后可选反馈；不要求提示词、表格或长复盘。</x:v>
      </x:c>
      <x:c r="F8" s="18" t="str">
        <x:v>教师决策点→M09/M11</x:v>
      </x:c>
      <x:c r="G8" s="18" t="str">
        <x:v>采用/只改一处/换任务</x:v>
      </x:c>
      <x:c r="H8" s="18" t="str">
        <x:v>记录总阅读核对与返工时间，而不只数按钮；一次点击是设计目标，不是已验证收益。</x:v>
      </x:c>
      <x:c r="I8" s="32" t="str">
        <x:v>必须</x:v>
      </x:c>
      <x:c r="J8" s="32" t="str">
        <x:v>待讨论</x:v>
      </x:c>
      <x:c r="K8" s="18" t="str">
        <x:v>项目设计约定</x:v>
      </x:c>
      <x:c r="L8" s="18" t="str"/>
    </x:row>
    <x:row r="9" ht="50" customHeight="1">
      <x:c r="A9" s="30" t="str">
        <x:v>R004</x:v>
      </x:c>
      <x:c r="B9" s="18" t="str">
        <x:v>M01</x:v>
      </x:c>
      <x:c r="C9" s="18" t="str">
        <x:v>只问决定性未知</x:v>
      </x:c>
      <x:c r="D9" s="18" t="str">
        <x:v>前置学习/课时/条件缺口</x:v>
      </x:c>
      <x:c r="E9" s="18" t="str">
        <x:v>能从现有证据确认的不问；影响关键任务的未知才问；提供不确定选项。</x:v>
      </x:c>
      <x:c r="F9" s="18" t="str">
        <x:v>补充O01/O04→下游</x:v>
      </x:c>
      <x:c r="G9" s="18" t="str">
        <x:v>至多针对当前决策补问</x:v>
      </x:c>
      <x:c r="H9" s="18" t="str">
        <x:v>不知道是否通读课文时，不自动安排深入讨论并声称适配本班。</x:v>
      </x:c>
      <x:c r="I9" s="32" t="str">
        <x:v>必须</x:v>
      </x:c>
      <x:c r="J9" s="32" t="str">
        <x:v>待讨论</x:v>
      </x:c>
      <x:c r="K9" s="18" t="str">
        <x:v>项目设计约定</x:v>
      </x:c>
      <x:c r="L9" s="18" t="str"/>
    </x:row>
    <x:row r="10" ht="50" customHeight="1">
      <x:c r="A10" s="30" t="str">
        <x:v>R005</x:v>
      </x:c>
      <x:c r="B10" s="18" t="str">
        <x:v>M01</x:v>
      </x:c>
      <x:c r="C10" s="18" t="str">
        <x:v>权限与私人信息边界</x:v>
      </x:c>
      <x:c r="D10" s="18" t="str">
        <x:v>资料授权、教师控制要求</x:v>
      </x:c>
      <x:c r="E10" s="18" t="str">
        <x:v>备课不默认向学生家长发布，不默认写入正式成绩；不强制获取班主任私人谈话。</x:v>
      </x:c>
      <x:c r="F10" s="18" t="str">
        <x:v>约束→全部模块</x:v>
      </x:c>
      <x:c r="G10" s="18" t="str">
        <x:v>重要外发或新增敏感资料另确认</x:v>
      </x:c>
      <x:c r="H10" s="18" t="str">
        <x:v>拒绝授权后仍可做基础备课；无数据不伪造个体分析。</x:v>
      </x:c>
      <x:c r="I10" s="32" t="str">
        <x:v>必须</x:v>
      </x:c>
      <x:c r="J10" s="32" t="str">
        <x:v>待讨论</x:v>
      </x:c>
      <x:c r="K10" s="18" t="str">
        <x:v>项目设计约定</x:v>
      </x:c>
      <x:c r="L10" s="18" t="str"/>
    </x:row>
    <x:row r="11" ht="57" customHeight="1">
      <x:c r="A11" s="30" t="str">
        <x:v>R006</x:v>
      </x:c>
      <x:c r="B11" s="18" t="str">
        <x:v>M02</x:v>
      </x:c>
      <x:c r="C11" s="18" t="str">
        <x:v>课标框架到具体内容</x:v>
      </x:c>
      <x:c r="D11" s="18" t="str">
        <x:v>适用课标、教材原文</x:v>
      </x:c>
      <x:c r="E11" s="18" t="str">
        <x:v>四项核心素养及六任务群落到学段要求、内容、任务和证据；保留课程价值，非每课全部覆盖。</x:v>
      </x:c>
      <x:c r="F11" s="18" t="str">
        <x:v>O02→M03/M06/M07</x:v>
      </x:c>
      <x:c r="G11" s="18" t="str">
        <x:v>确认单元重点</x:v>
      </x:c>
      <x:c r="H11" s="18" t="str">
        <x:v>每条具体课程映射可追溯到原文；未核页码标待复核。</x:v>
      </x:c>
      <x:c r="I11" s="32" t="str">
        <x:v>必须</x:v>
      </x:c>
      <x:c r="J11" s="32" t="str">
        <x:v>待补资料</x:v>
      </x:c>
      <x:c r="K11" s="18" t="str">
        <x:v>S01</x:v>
      </x:c>
      <x:c r="L11" s="18" t="str">
        <x:v>https://www.moe.gov.cn/srcsite/A26/s8001/202204/t20220420_619921.html</x:v>
      </x:c>
    </x:row>
    <x:row r="12" ht="50" customHeight="1">
      <x:c r="A12" s="30" t="str">
        <x:v>R007</x:v>
      </x:c>
      <x:c r="B12" s="18" t="str">
        <x:v>M02</x:v>
      </x:c>
      <x:c r="C12" s="18" t="str">
        <x:v>七至九年级渐进覆盖</x:v>
      </x:c>
      <x:c r="D12" s="18" t="str">
        <x:v>课程要求、实际教材编排</x:v>
      </x:c>
      <x:c r="E12" s="18" t="str">
        <x:v>区分已学/当前/后续/拓展；按实际教材建立进阶，不凭年级印象推断作品必学。</x:v>
      </x:c>
      <x:c r="F12" s="18" t="str">
        <x:v>O02→M05/M08</x:v>
      </x:c>
      <x:c r="G12" s="18" t="str">
        <x:v>少量确认实际教材与进度</x:v>
      </x:c>
      <x:c r="H12" s="18" t="str">
        <x:v>把《梦游天姥吟留别》作方法例示时，不自动纳入初一必学。</x:v>
      </x:c>
      <x:c r="I12" s="32" t="str">
        <x:v>应有</x:v>
      </x:c>
      <x:c r="J12" s="32" t="str">
        <x:v>待补资料</x:v>
      </x:c>
      <x:c r="K12" s="18" t="str">
        <x:v>S01</x:v>
      </x:c>
      <x:c r="L12" s="18" t="str">
        <x:v>https://www.moe.gov.cn/srcsite/A26/s8001/202204/t20220420_619921.html</x:v>
      </x:c>
    </x:row>
    <x:row r="13" ht="57" customHeight="1">
      <x:c r="A13" s="30" t="str">
        <x:v>R008</x:v>
      </x:c>
      <x:c r="B13" s="18" t="str">
        <x:v>M02</x:v>
      </x:c>
      <x:c r="C13" s="18" t="str">
        <x:v>考试按年份和来源管理</x:v>
      </x:c>
      <x:c r="D13" s="18" t="str">
        <x:v>年度官方文件、真题和评分</x:v>
      </x:c>
      <x:c r="E13" s="18" t="str">
        <x:v>2026总分120、150分钟可作已核例；板块和未来年份必须另核，不照搬未经验证的分值表。</x:v>
      </x:c>
      <x:c r="F13" s="18" t="str">
        <x:v>O02考试约束→M07</x:v>
      </x:c>
      <x:c r="G13" s="18" t="str">
        <x:v>核实学校实际资料</x:v>
      </x:c>
      <x:c r="H13" s="18" t="str">
        <x:v>来源不明的模拟题不能标为真题；未取得评分说明就不声称官方评分。</x:v>
      </x:c>
      <x:c r="I13" s="32" t="str">
        <x:v>必须</x:v>
      </x:c>
      <x:c r="J13" s="32" t="str">
        <x:v>待补资料</x:v>
      </x:c>
      <x:c r="K13" s="18" t="str">
        <x:v>S02</x:v>
      </x:c>
      <x:c r="L13" s="18" t="str">
        <x:v>https://edu.ganzhou.gov.cn/gzsjyj/c102990/202605/ef4819efb15a45ccbc63fada20aea89b.shtml</x:v>
      </x:c>
    </x:row>
    <x:row r="14" ht="57" customHeight="1">
      <x:c r="A14" s="30" t="str">
        <x:v>R009</x:v>
      </x:c>
      <x:c r="B14" s="18" t="str">
        <x:v>M02</x:v>
      </x:c>
      <x:c r="C14" s="18" t="str">
        <x:v>能力目标与应考表现双对齐</x:v>
      </x:c>
      <x:c r="D14" s="18" t="str">
        <x:v>课程目标、实际题目</x:v>
      </x:c>
      <x:c r="E14" s="18" t="str">
        <x:v>列清真实能力怎样体现在考查中；审题、范围、证据、时间和检查单列；不以考频删除完整阅读、口语或审美。</x:v>
      </x:c>
      <x:c r="F14" s="18" t="str">
        <x:v>O02/O07→M06/M08</x:v>
      </x:c>
      <x:c r="G14" s="18" t="str">
        <x:v>通常不额外选择</x:v>
      </x:c>
      <x:c r="H14" s="18" t="str">
        <x:v>一道题的失分可区分知识理解、表达与执行问题，而不是只有题型标签。</x:v>
      </x:c>
      <x:c r="I14" s="32" t="str">
        <x:v>必须</x:v>
      </x:c>
      <x:c r="J14" s="32" t="str">
        <x:v>待讨论</x:v>
      </x:c>
      <x:c r="K14" s="18" t="str">
        <x:v>S01;S11</x:v>
      </x:c>
      <x:c r="L14" s="18" t="str">
        <x:v>https://www.moe.gov.cn/srcsite/A26/s8001/202204/t20220420_619921.html</x:v>
      </x:c>
    </x:row>
    <x:row r="15" ht="57" customHeight="1">
      <x:c r="A15" s="30" t="str">
        <x:v>R010</x:v>
      </x:c>
      <x:c r="B15" s="18" t="str">
        <x:v>M02</x:v>
      </x:c>
      <x:c r="C15" s="18" t="str">
        <x:v>学校节奏与评价约束</x:v>
      </x:c>
      <x:c r="D15" s="18" t="str">
        <x:v>校历、单元安排、正常考试</x:v>
      </x:c>
      <x:c r="E15" s="18" t="str">
        <x:v>阶段/期中/期末/中考形成不同时间尺度；沿用合规既有评价，不为了系统增加周考和打卡。</x:v>
      </x:c>
      <x:c r="F15" s="18" t="str">
        <x:v>O02时间约束→M08/M12</x:v>
      </x:c>
      <x:c r="G15" s="18" t="str">
        <x:v>仅确认临时变动</x:v>
      </x:c>
      <x:c r="H15" s="18" t="str">
        <x:v>新方法采用后，学生正式测试次数不会自动增加。</x:v>
      </x:c>
      <x:c r="I15" s="32" t="str">
        <x:v>必须</x:v>
      </x:c>
      <x:c r="J15" s="32" t="str">
        <x:v>待讨论</x:v>
      </x:c>
      <x:c r="K15" s="18" t="str">
        <x:v>项目设计约定</x:v>
      </x:c>
      <x:c r="L15" s="18" t="str"/>
    </x:row>
    <x:row r="16" ht="50" customHeight="1">
      <x:c r="A16" s="30" t="str">
        <x:v>R011</x:v>
      </x:c>
      <x:c r="B16" s="18" t="str">
        <x:v>M03</x:v>
      </x:c>
      <x:c r="C16" s="18" t="str">
        <x:v>可定位的文本原件</x:v>
      </x:c>
      <x:c r="D16" s="18" t="str">
        <x:v>教材、教参、可靠原文</x:v>
      </x:c>
      <x:c r="E16" s="18" t="str">
        <x:v>准备原文、注释和版本差异；自拟文本标明自拟；核实引文与关键事实。</x:v>
      </x:c>
      <x:c r="F16" s="18" t="str">
        <x:v>O03→M05/M06/M07</x:v>
      </x:c>
      <x:c r="G16" s="18" t="str">
        <x:v>阅览实际关键材料</x:v>
      </x:c>
      <x:c r="H16" s="18" t="str">
        <x:v>任何展示给学生的引用可定位到来源；错误引用须修复才交付。</x:v>
      </x:c>
      <x:c r="I16" s="32" t="str">
        <x:v>必须</x:v>
      </x:c>
      <x:c r="J16" s="32" t="str">
        <x:v>待讨论</x:v>
      </x:c>
      <x:c r="K16" s="18" t="str">
        <x:v>S12;S13</x:v>
      </x:c>
      <x:c r="L16" s="18" t="str">
        <x:v>https://www.pep.com.cn/bks/kcjcjf/xszh/202503/W020250407394952554339.pdf</x:v>
      </x:c>
    </x:row>
    <x:row r="17" ht="57" customHeight="1">
      <x:c r="A17" s="30" t="str">
        <x:v>R012</x:v>
      </x:c>
      <x:c r="B17" s="18" t="str">
        <x:v>M03</x:v>
      </x:c>
      <x:c r="C17" s="18" t="str">
        <x:v>按文体解读而非考点拆碎</x:v>
      </x:c>
      <x:c r="D17" s="18" t="str">
        <x:v>具体作品与课程目标</x:v>
      </x:c>
      <x:c r="E17" s="18" t="str">
        <x:v>兼顾整体意义、语言细部、结构、人物/观点、朗读和表达作用；说明文/议论/文学分别处理。</x:v>
      </x:c>
      <x:c r="F17" s="18" t="str">
        <x:v>O03→M06/M07</x:v>
      </x:c>
      <x:c r="G17" s="18" t="str">
        <x:v>判断解释是否适宜</x:v>
      </x:c>
      <x:c r="H17" s="18" t="str">
        <x:v>同一套人物标签或修辞效果套话不能适配所有文本。</x:v>
      </x:c>
      <x:c r="I17" s="32" t="str">
        <x:v>必须</x:v>
      </x:c>
      <x:c r="J17" s="32" t="str">
        <x:v>待讨论</x:v>
      </x:c>
      <x:c r="K17" s="18" t="str">
        <x:v>S01;S12</x:v>
      </x:c>
      <x:c r="L17" s="18" t="str">
        <x:v>https://www.moe.gov.cn/srcsite/A26/s8001/202204/t20220420_619921.html</x:v>
      </x:c>
    </x:row>
    <x:row r="18" ht="57" customHeight="1">
      <x:c r="A18" s="30" t="str">
        <x:v>R013</x:v>
      </x:c>
      <x:c r="B18" s="18" t="str">
        <x:v>M03</x:v>
      </x:c>
      <x:c r="C18" s="18" t="str">
        <x:v>事实、解释与生成物分层</x:v>
      </x:c>
      <x:c r="D18" s="18" t="str">
        <x:v>文学背景、系统分析、草稿</x:v>
      </x:c>
      <x:c r="E18" s="18" t="str">
        <x:v>可靠史实、争议观点、教学假设、生成材料分别标识；生成内容不反过来充当权威来源。</x:v>
      </x:c>
      <x:c r="F18" s="18" t="str">
        <x:v>O03来源状态→全部下游</x:v>
      </x:c>
      <x:c r="G18" s="18" t="str">
        <x:v>只看重要争议</x:v>
      </x:c>
      <x:c r="H18" s="18" t="str">
        <x:v>未经核实的作者心理或创作日期，不得写成确定事实。</x:v>
      </x:c>
      <x:c r="I18" s="32" t="str">
        <x:v>必须</x:v>
      </x:c>
      <x:c r="J18" s="32" t="str">
        <x:v>待讨论</x:v>
      </x:c>
      <x:c r="K18" s="18" t="str">
        <x:v>项目设计约定</x:v>
      </x:c>
      <x:c r="L18" s="18" t="str"/>
    </x:row>
    <x:row r="19" ht="57" customHeight="1">
      <x:c r="A19" s="30" t="str">
        <x:v>R014</x:v>
      </x:c>
      <x:c r="B19" s="18" t="str">
        <x:v>M03</x:v>
      </x:c>
      <x:c r="C19" s="18" t="str">
        <x:v>允许有依据的多种理解</x:v>
      </x:c>
      <x:c r="D19" s="18" t="str">
        <x:v>文本证据、注释与解释</x:v>
      </x:c>
      <x:c r="E19" s="18" t="str">
        <x:v>提供合理解释范围及反证；背景帮助理解但不能替文本作证，不强制梦境一一对应生平事件。</x:v>
      </x:c>
      <x:c r="F19" s="18" t="str">
        <x:v>O03合理范围→M07/M10</x:v>
      </x:c>
      <x:c r="G19" s="18" t="str">
        <x:v>审阅关键争议题</x:v>
      </x:c>
      <x:c r="H19" s="18" t="str">
        <x:v>学生新解释有文本支持时，不因未出现预设词被自动判错。</x:v>
      </x:c>
      <x:c r="I19" s="32" t="str">
        <x:v>必须</x:v>
      </x:c>
      <x:c r="J19" s="32" t="str">
        <x:v>待讨论</x:v>
      </x:c>
      <x:c r="K19" s="18" t="str">
        <x:v>S11;S12;S13</x:v>
      </x:c>
      <x:c r="L19" s="18" t="str">
        <x:v>https://www.testingstandards.net/uploads/7/6/6/4/76643089/standards_2014edition.pdf</x:v>
      </x:c>
    </x:row>
    <x:row r="20" ht="57" customHeight="1">
      <x:c r="A20" s="30" t="str">
        <x:v>R015</x:v>
      </x:c>
      <x:c r="B20" s="18" t="str">
        <x:v>M03</x:v>
      </x:c>
      <x:c r="C20" s="18" t="str">
        <x:v>资源取用与退出规则</x:v>
      </x:c>
      <x:c r="D20" s="18" t="str">
        <x:v>课程相关资源</x:v>
      </x:c>
      <x:c r="E20" s="18" t="str">
        <x:v>保留来源、版本、授权范围、适用条件和核验状态；过时错误资源退出推荐；只收集确有用途内容。</x:v>
      </x:c>
      <x:c r="F20" s="18" t="str">
        <x:v>可靠资源包→M05/M06/M09</x:v>
      </x:c>
      <x:c r="G20" s="18" t="str">
        <x:v>无需整理收藏夹</x:v>
      </x:c>
      <x:c r="H20" s="18" t="str">
        <x:v>失效来源不能继续被当作已核依据；纸质资料未提供则标缺失。</x:v>
      </x:c>
      <x:c r="I20" s="32" t="str">
        <x:v>必须</x:v>
      </x:c>
      <x:c r="J20" s="32" t="str">
        <x:v>待讨论</x:v>
      </x:c>
      <x:c r="K20" s="18" t="str">
        <x:v>项目设计约定</x:v>
      </x:c>
      <x:c r="L20" s="18" t="str"/>
    </x:row>
    <x:row r="21" ht="57" customHeight="1">
      <x:c r="A21" s="30" t="str">
        <x:v>R016</x:v>
      </x:c>
      <x:c r="B21" s="18" t="str">
        <x:v>M04</x:v>
      </x:c>
      <x:c r="C21" s="18" t="str">
        <x:v>优先用已有证据</x:v>
      </x:c>
      <x:c r="D21" s="18" t="str">
        <x:v>正常作答、习作、既有评价</x:v>
      </x:c>
      <x:c r="E21" s="18" t="str">
        <x:v>只用授权且实际获得的材料；不常态要求全量扫描、全程录音或额外考试。</x:v>
      </x:c>
      <x:c r="F21" s="18" t="str">
        <x:v>O04→M05/M06/M07</x:v>
      </x:c>
      <x:c r="G21" s="18" t="str">
        <x:v>可选提供已有材料</x:v>
      </x:c>
      <x:c r="H21" s="18" t="str">
        <x:v>没有上传作业时，系统不得显示已分析全班作业。</x:v>
      </x:c>
      <x:c r="I21" s="32" t="str">
        <x:v>必须</x:v>
      </x:c>
      <x:c r="J21" s="32" t="str">
        <x:v>待讨论</x:v>
      </x:c>
      <x:c r="K21" s="18" t="str">
        <x:v>S11</x:v>
      </x:c>
      <x:c r="L21" s="18" t="str">
        <x:v>https://www.testingstandards.net/uploads/7/6/6/4/76643089/standards_2014edition.pdf</x:v>
      </x:c>
    </x:row>
    <x:row r="22" ht="57" customHeight="1">
      <x:c r="A22" s="30" t="str">
        <x:v>R017</x:v>
      </x:c>
      <x:c r="B22" s="18" t="str">
        <x:v>M04</x:v>
      </x:c>
      <x:c r="C22" s="18" t="str">
        <x:v>证据强度与未知显式化</x:v>
      </x:c>
      <x:c r="D22" s="18" t="str">
        <x:v>原始作品、教师总体观察</x:v>
      </x:c>
      <x:c r="E22" s="18" t="str">
        <x:v>原始表现、教师观察、系统推测分开；记录日期与任务；没有证据就保留未知。</x:v>
      </x:c>
      <x:c r="F22" s="18" t="str">
        <x:v>O04→M10/M11</x:v>
      </x:c>
      <x:c r="G22" s="18" t="str">
        <x:v>可以选尚未观察</x:v>
      </x:c>
      <x:c r="H22" s="18" t="str">
        <x:v>一次总体印象不能转换为精确掌握率。</x:v>
      </x:c>
      <x:c r="I22" s="32" t="str">
        <x:v>必须</x:v>
      </x:c>
      <x:c r="J22" s="32" t="str">
        <x:v>待讨论</x:v>
      </x:c>
      <x:c r="K22" s="18" t="str">
        <x:v>S11</x:v>
      </x:c>
      <x:c r="L22" s="18" t="str">
        <x:v>https://www.testingstandards.net/uploads/7/6/6/4/76643089/standards_2014edition.pdf</x:v>
      </x:c>
    </x:row>
    <x:row r="23" ht="57" customHeight="1">
      <x:c r="A23" s="30" t="str">
        <x:v>R018</x:v>
      </x:c>
      <x:c r="B23" s="18" t="str">
        <x:v>M04</x:v>
      </x:c>
      <x:c r="C23" s="18" t="str">
        <x:v>多维而非单一能力分</x:v>
      </x:c>
      <x:c r="D23" s="18" t="str">
        <x:v>作答与任务条件</x:v>
      </x:c>
      <x:c r="E23" s="18" t="str">
        <x:v>描述质量、提示程度、材料新旧、时间间隔、观察覆盖；不形成永久能力等级。</x:v>
      </x:c>
      <x:c r="F23" s="18" t="str">
        <x:v>O04证据描述→M07/M11</x:v>
      </x:c>
      <x:c r="G23" s="18" t="str">
        <x:v>无需手动逐维标注</x:v>
      </x:c>
      <x:c r="H23" s="18" t="str">
        <x:v>跟读正确与独立新题正确在结果中可区分。</x:v>
      </x:c>
      <x:c r="I23" s="32" t="str">
        <x:v>必须</x:v>
      </x:c>
      <x:c r="J23" s="32" t="str">
        <x:v>待讨论</x:v>
      </x:c>
      <x:c r="K23" s="18" t="str">
        <x:v>S11</x:v>
      </x:c>
      <x:c r="L23" s="18" t="str">
        <x:v>https://www.testingstandards.net/uploads/7/6/6/4/76643089/standards_2014edition.pdf</x:v>
      </x:c>
    </x:row>
    <x:row r="24" ht="50" customHeight="1">
      <x:c r="A24" s="30" t="str">
        <x:v>R019</x:v>
      </x:c>
      <x:c r="B24" s="18" t="str">
        <x:v>M04</x:v>
      </x:c>
      <x:c r="C24" s="18" t="str">
        <x:v>诊断可行动的前提困难</x:v>
      </x:c>
      <x:c r="D24" s="18" t="str">
        <x:v>文本与真实错例</x:v>
      </x:c>
      <x:c r="E24" s="18" t="str">
        <x:v>区分字词、情节/信息结构、概括推断、证据联系、表达和审题；先提出假设。</x:v>
      </x:c>
      <x:c r="F24" s="18" t="str">
        <x:v>O04候选瓶颈→M06/M07</x:v>
      </x:c>
      <x:c r="G24" s="18" t="str">
        <x:v>只确认关键歧义</x:v>
      </x:c>
      <x:c r="H24" s="18" t="str">
        <x:v>能口头说清但书面缺漏的学生，不默认安排重新通读整篇。</x:v>
      </x:c>
      <x:c r="I24" s="32" t="str">
        <x:v>必须</x:v>
      </x:c>
      <x:c r="J24" s="32" t="str">
        <x:v>待讨论</x:v>
      </x:c>
      <x:c r="K24" s="18" t="str">
        <x:v>S04;S08</x:v>
      </x:c>
      <x:c r="L24" s="18" t="str">
        <x:v>https://www.nationalacademies.org/read/24783/chapter/7</x:v>
      </x:c>
    </x:row>
    <x:row r="25" ht="50" customHeight="1">
      <x:c r="A25" s="30" t="str">
        <x:v>R020</x:v>
      </x:c>
      <x:c r="B25" s="18" t="str">
        <x:v>M04</x:v>
      </x:c>
      <x:c r="C25" s="18" t="str">
        <x:v>避免固定标签与隐私过采集</x:v>
      </x:c>
      <x:c r="D25" s="18" t="str">
        <x:v>个体表现与班级材料</x:v>
      </x:c>
      <x:c r="E25" s="18" t="str">
        <x:v>不从少量作答推断智力、性格或家庭原因；匿名样本尽量不保留无关身份。</x:v>
      </x:c>
      <x:c r="F25" s="18" t="str">
        <x:v>O04边界→M10/M11</x:v>
      </x:c>
      <x:c r="G25" s="18" t="str">
        <x:v>可拒绝敏感采集</x:v>
      </x:c>
      <x:c r="H25" s="18" t="str">
        <x:v>典型错例不能形成全班分层排名或固定学生标签。</x:v>
      </x:c>
      <x:c r="I25" s="32" t="str">
        <x:v>必须</x:v>
      </x:c>
      <x:c r="J25" s="32" t="str">
        <x:v>待讨论</x:v>
      </x:c>
      <x:c r="K25" s="18" t="str">
        <x:v>项目设计约定</x:v>
      </x:c>
      <x:c r="L25" s="18" t="str"/>
    </x:row>
    <x:row r="26" ht="57" customHeight="1">
      <x:c r="A26" s="30" t="str">
        <x:v>R021</x:v>
      </x:c>
      <x:c r="B26" s="18" t="str">
        <x:v>M05</x:v>
      </x:c>
      <x:c r="C26" s="18" t="str">
        <x:v>区分三条时间线</x:v>
      </x:c>
      <x:c r="D26" s="18" t="str">
        <x:v>作者史实、文本、学生学习轨迹</x:v>
      </x:c>
      <x:c r="E26" s="18" t="str">
        <x:v>分别维护生平/创作线、文本内部推进线、学生已学当前未来线；有争议纪年标不确定。</x:v>
      </x:c>
      <x:c r="F26" s="18" t="str">
        <x:v>O05联结结构→M06/M08</x:v>
      </x:c>
      <x:c r="G26" s="18" t="str">
        <x:v>只确认真实已学情况</x:v>
      </x:c>
      <x:c r="H26" s="18" t="str">
        <x:v>不能因作品同属李白，就把写作顺序当作教材顺序。</x:v>
      </x:c>
      <x:c r="I26" s="32" t="str">
        <x:v>必须</x:v>
      </x:c>
      <x:c r="J26" s="32" t="str">
        <x:v>待讨论</x:v>
      </x:c>
      <x:c r="K26" s="18" t="str">
        <x:v>S04;S12;S13</x:v>
      </x:c>
      <x:c r="L26" s="18" t="str">
        <x:v>https://www.nationalacademies.org/read/24783/chapter/7</x:v>
      </x:c>
    </x:row>
    <x:row r="27" ht="57" customHeight="1">
      <x:c r="A27" s="30" t="str">
        <x:v>R022</x:v>
      </x:c>
      <x:c r="B27" s="18" t="str">
        <x:v>M05</x:v>
      </x:c>
      <x:c r="C27" s="18" t="str">
        <x:v>有类型有证据的联结</x:v>
      </x:c>
      <x:c r="D27" s="18" t="str">
        <x:v>O02/O03/O04</x:v>
      </x:c>
      <x:c r="E27" s="18" t="str">
        <x:v>支持同作者发展、同题异构、意象异用、文体比较、词义语境、读写迁移等；说明相同与不同。</x:v>
      </x:c>
      <x:c r="F27" s="18" t="str">
        <x:v>O05联结卡→M06/M07</x:v>
      </x:c>
      <x:c r="G27" s="18" t="str">
        <x:v>不需要在几十篇资料中选择</x:v>
      </x:c>
      <x:c r="H27" s="18" t="str">
        <x:v>同样出现月亮不能直接得出情感或功能相同。</x:v>
      </x:c>
      <x:c r="I27" s="32" t="str">
        <x:v>必须</x:v>
      </x:c>
      <x:c r="J27" s="32" t="str">
        <x:v>待讨论</x:v>
      </x:c>
      <x:c r="K27" s="18" t="str">
        <x:v>S04;S12</x:v>
      </x:c>
      <x:c r="L27" s="18" t="str">
        <x:v>https://www.nationalacademies.org/read/24783/chapter/7</x:v>
      </x:c>
    </x:row>
    <x:row r="28" ht="50" customHeight="1">
      <x:c r="A28" s="30" t="str">
        <x:v>R023</x:v>
      </x:c>
      <x:c r="B28" s="18" t="str">
        <x:v>M05</x:v>
      </x:c>
      <x:c r="C28" s="18" t="str">
        <x:v>每条联结必须有教学用途</x:v>
      </x:c>
      <x:c r="D28" s="18" t="str">
        <x:v>联结候选与本课目标</x:v>
      </x:c>
      <x:c r="E28" s="18" t="str">
        <x:v>写明解决的困惑、学生动作、返回本篇的证据、时间成本、替代内容和删除条件。</x:v>
      </x:c>
      <x:c r="F28" s="18" t="str">
        <x:v>O05必要/有益/舍弃→M08</x:v>
      </x:c>
      <x:c r="G28" s="18" t="str">
        <x:v>只对重要取舍确认</x:v>
      </x:c>
      <x:c r="H28" s="18" t="str">
        <x:v>只有背景故事、没有学生阅读或表达任务的联结应删减。</x:v>
      </x:c>
      <x:c r="I28" s="32" t="str">
        <x:v>必须</x:v>
      </x:c>
      <x:c r="J28" s="32" t="str">
        <x:v>待讨论</x:v>
      </x:c>
      <x:c r="K28" s="18" t="str">
        <x:v>S04;S12</x:v>
      </x:c>
      <x:c r="L28" s="18" t="str">
        <x:v>https://www.nationalacademies.org/read/24783/chapter/7</x:v>
      </x:c>
    </x:row>
    <x:row r="29" ht="57" customHeight="1">
      <x:c r="A29" s="30" t="str">
        <x:v>R024</x:v>
      </x:c>
      <x:c r="B29" s="18" t="str">
        <x:v>M05</x:v>
      </x:c>
      <x:c r="C29" s="18" t="str">
        <x:v>教师广度与学生负荷分开</x:v>
      </x:c>
      <x:c r="D29" s="18" t="str">
        <x:v>完整资料与可用课时</x:v>
      </x:c>
      <x:c r="E29" s="18" t="str">
        <x:v>教师可看广泛背景；学生只接触服务当前问题的必要内容；不能强迫未知作品作前提。</x:v>
      </x:c>
      <x:c r="F29" s="18" t="str">
        <x:v>O05精简方案→M08/M09</x:v>
      </x:c>
      <x:c r="G29" s="18" t="str">
        <x:v>采用推荐联系或换一处</x:v>
      </x:c>
      <x:c r="H29" s="18" t="str">
        <x:v>出现陌生作品时给最小必要片段与说明，或从学生层移除。</x:v>
      </x:c>
      <x:c r="I29" s="32" t="str">
        <x:v>必须</x:v>
      </x:c>
      <x:c r="J29" s="32" t="str">
        <x:v>待讨论</x:v>
      </x:c>
      <x:c r="K29" s="18" t="str">
        <x:v>S04</x:v>
      </x:c>
      <x:c r="L29" s="18" t="str">
        <x:v>https://www.nationalacademies.org/read/24783/chapter/7</x:v>
      </x:c>
    </x:row>
    <x:row r="30" ht="50" customHeight="1">
      <x:c r="A30" s="30" t="str">
        <x:v>R025</x:v>
      </x:c>
      <x:c r="B30" s="18" t="str">
        <x:v>M05</x:v>
      </x:c>
      <x:c r="C30" s="18" t="str">
        <x:v>自然复现与渐进深化</x:v>
      </x:c>
      <x:c r="D30" s="18" t="str">
        <x:v>已学联系与后续正常课程</x:v>
      </x:c>
      <x:c r="E30" s="18" t="str">
        <x:v>规划下一次何时在新内容中重用，提示逐步减少；后续课程未确认则仅标候选。</x:v>
      </x:c>
      <x:c r="F30" s="18" t="str">
        <x:v>O05复现点→M08/M12</x:v>
      </x:c>
      <x:c r="G30" s="18" t="str">
        <x:v>无需额外打卡</x:v>
      </x:c>
      <x:c r="H30" s="18" t="str">
        <x:v>复现优先替换已有重复任务，不自动新增课外背诵包。</x:v>
      </x:c>
      <x:c r="I30" s="32" t="str">
        <x:v>应有</x:v>
      </x:c>
      <x:c r="J30" s="32" t="str">
        <x:v>待讨论</x:v>
      </x:c>
      <x:c r="K30" s="18" t="str">
        <x:v>S06;S08</x:v>
      </x:c>
      <x:c r="L30" s="18" t="str">
        <x:v>https://ies.ed.gov/ncee/wwc/PracticeGuide/1</x:v>
      </x:c>
    </x:row>
    <x:row r="31" ht="57" customHeight="1">
      <x:c r="A31" s="30" t="str">
        <x:v>R026</x:v>
      </x:c>
      <x:c r="B31" s="18" t="str">
        <x:v>M06</x:v>
      </x:c>
      <x:c r="C31" s="18" t="str">
        <x:v>方法有条件和依据等级</x:v>
      </x:c>
      <x:c r="D31" s="18" t="str">
        <x:v>任务、困难、方法库</x:v>
      </x:c>
      <x:c r="E31" s="18" t="str">
        <x:v>每种方法记录适用目标、必要前提、操作步骤、预期证据、失效条件；区分研究、学科经验和设计假设。</x:v>
      </x:c>
      <x:c r="F31" s="18" t="str">
        <x:v>O06→M07/M08</x:v>
      </x:c>
      <x:c r="G31" s="18" t="str">
        <x:v>看具体活动，不选理论名词</x:v>
      </x:c>
      <x:c r="H31" s="18" t="str">
        <x:v>不得用学习金字塔百分比或固定学习风格支持方案。</x:v>
      </x:c>
      <x:c r="I31" s="32" t="str">
        <x:v>必须</x:v>
      </x:c>
      <x:c r="J31" s="32" t="str">
        <x:v>待讨论</x:v>
      </x:c>
      <x:c r="K31" s="18" t="str">
        <x:v>S04;S06;S07;S08</x:v>
      </x:c>
      <x:c r="L31" s="18" t="str">
        <x:v>https://www.nationalacademies.org/read/24783/chapter/7</x:v>
      </x:c>
    </x:row>
    <x:row r="32" ht="50" customHeight="1">
      <x:c r="A32" s="30" t="str">
        <x:v>R027</x:v>
      </x:c>
      <x:c r="B32" s="18" t="str">
        <x:v>M06</x:v>
      </x:c>
      <x:c r="C32" s="18" t="str">
        <x:v>支持逐步撤去</x:v>
      </x:c>
      <x:c r="D32" s="18" t="str">
        <x:v>学习起点与核心任务</x:v>
      </x:c>
      <x:c r="E32" s="18" t="str">
        <x:v>按需要组织示范、带提示尝试、个人独立完成及修正；不规定万能课堂步骤。</x:v>
      </x:c>
      <x:c r="F32" s="18" t="str">
        <x:v>O06→M07/M08</x:v>
      </x:c>
      <x:c r="G32" s="18" t="str">
        <x:v>可选增加/减少支持</x:v>
      </x:c>
      <x:c r="H32" s="18" t="str">
        <x:v>小组代表答对不能作为全班独立掌握证据。</x:v>
      </x:c>
      <x:c r="I32" s="32" t="str">
        <x:v>必须</x:v>
      </x:c>
      <x:c r="J32" s="32" t="str">
        <x:v>待讨论</x:v>
      </x:c>
      <x:c r="K32" s="18" t="str">
        <x:v>S07;S08</x:v>
      </x:c>
      <x:c r="L32" s="18" t="str">
        <x:v>https://ies.ed.gov/ncee/wwc/PracticeGuide/22</x:v>
      </x:c>
    </x:row>
    <x:row r="33" ht="57" customHeight="1">
      <x:c r="A33" s="30" t="str">
        <x:v>R028</x:v>
      </x:c>
      <x:c r="B33" s="18" t="str">
        <x:v>M06</x:v>
      </x:c>
      <x:c r="C33" s="18" t="str">
        <x:v>兴趣来自学科任务</x:v>
      </x:c>
      <x:c r="D33" s="18" t="str">
        <x:v>文本问题、表达对象、学生选择</x:v>
      </x:c>
      <x:c r="E33" s="18" t="str">
        <x:v>采用有意义问题、可应对挑战、有限选择和可见进步；热闹活动必须回到语言学习。</x:v>
      </x:c>
      <x:c r="F33" s="18" t="str">
        <x:v>O06兴趣入口→M08</x:v>
      </x:c>
      <x:c r="G33" s="18" t="str">
        <x:v>避免额外游戏选择问卷</x:v>
      </x:c>
      <x:c r="H33" s="18" t="str">
        <x:v>导入无法支撑本课学习，或挤占独立任务时优先删减。</x:v>
      </x:c>
      <x:c r="I33" s="32" t="str">
        <x:v>必须</x:v>
      </x:c>
      <x:c r="J33" s="32" t="str">
        <x:v>待讨论</x:v>
      </x:c>
      <x:c r="K33" s="18" t="str">
        <x:v>S05</x:v>
      </x:c>
      <x:c r="L33" s="18" t="str">
        <x:v>https://www.nationalacademies.org/read/24783/chapter/8</x:v>
      </x:c>
    </x:row>
    <x:row r="34" ht="57" customHeight="1">
      <x:c r="A34" s="30" t="str">
        <x:v>R029</x:v>
      </x:c>
      <x:c r="B34" s="18" t="str">
        <x:v>M06</x:v>
      </x:c>
      <x:c r="C34" s="18" t="str">
        <x:v>保留语文学科完整性</x:v>
      </x:c>
      <x:c r="D34" s="18" t="str">
        <x:v>阅读、写作、口语、整本书任务</x:v>
      </x:c>
      <x:c r="E34" s="18" t="str">
        <x:v>使用细读朗读、比较、读写结合、完整表达与修改等；片段不能长期替代整本阅读和整篇写作。</x:v>
      </x:c>
      <x:c r="F34" s="18" t="str">
        <x:v>O06课型方案→M08/M09</x:v>
      </x:c>
      <x:c r="G34" s="18" t="str">
        <x:v>确认关键课型取舍</x:v>
      </x:c>
      <x:c r="H34" s="18" t="str">
        <x:v>写作课有学生实际写改时间；整本书课不能只剩情节梗概测验。</x:v>
      </x:c>
      <x:c r="I34" s="32" t="str">
        <x:v>必须</x:v>
      </x:c>
      <x:c r="J34" s="32" t="str">
        <x:v>待讨论</x:v>
      </x:c>
      <x:c r="K34" s="18" t="str">
        <x:v>S01;S07;S12</x:v>
      </x:c>
      <x:c r="L34" s="18" t="str">
        <x:v>https://www.moe.gov.cn/srcsite/A26/s8001/202204/t20220420_619921.html</x:v>
      </x:c>
    </x:row>
    <x:row r="35" ht="57" customHeight="1">
      <x:c r="A35" s="30" t="str">
        <x:v>R030</x:v>
      </x:c>
      <x:c r="B35" s="18" t="str">
        <x:v>M06</x:v>
      </x:c>
      <x:c r="C35" s="18" t="str">
        <x:v>方法自觉与跨学科迁移</x:v>
      </x:c>
      <x:c r="D35" s="18" t="str">
        <x:v>具体任务与其他学科已有活动</x:v>
      </x:c>
      <x:c r="E35" s="18" t="str">
        <x:v>在任务中示范计划、监控和检查；跨学科注明共同方法与不同规则，由相应学科验证。</x:v>
      </x:c>
      <x:c r="F35" s="18" t="str">
        <x:v>O06迁移提示→M07/M08</x:v>
      </x:c>
      <x:c r="G35" s="18" t="str">
        <x:v>跨科协作按需确认</x:v>
      </x:c>
      <x:c r="H35" s="18" t="str">
        <x:v>语文证据解释改善不能直接标为数学/历史总分提高。</x:v>
      </x:c>
      <x:c r="I35" s="32" t="str">
        <x:v>应有</x:v>
      </x:c>
      <x:c r="J35" s="32" t="str">
        <x:v>待讨论</x:v>
      </x:c>
      <x:c r="K35" s="18" t="str">
        <x:v>S08;S10</x:v>
      </x:c>
      <x:c r="L35" s="18" t="str">
        <x:v>https://educationendowmentfoundation.org.uk/education-evidence/guidance-reports/metacognition</x:v>
      </x:c>
    </x:row>
    <x:row r="36" ht="57" customHeight="1">
      <x:c r="A36" s="30" t="str">
        <x:v>R031</x:v>
      </x:c>
      <x:c r="B36" s="18" t="str">
        <x:v>M07</x:v>
      </x:c>
      <x:c r="C36" s="18" t="str">
        <x:v>目标—任务—证据反向对齐</x:v>
      </x:c>
      <x:c r="D36" s="18" t="str">
        <x:v>O02/O03/O04/O05</x:v>
      </x:c>
      <x:c r="E36" s="18" t="str">
        <x:v>先明确独立成功表现，再与M06共同选任务和支持；不是活动结束再补评价。</x:v>
      </x:c>
      <x:c r="F36" s="18" t="str">
        <x:v>O07→M06/M08/M10</x:v>
      </x:c>
      <x:c r="G36" s="18" t="str">
        <x:v>审关键任务</x:v>
      </x:c>
      <x:c r="H36" s="18" t="str">
        <x:v>目标为独立解释时，方案不能只有教师讲解与齐答。</x:v>
      </x:c>
      <x:c r="I36" s="32" t="str">
        <x:v>必须</x:v>
      </x:c>
      <x:c r="J36" s="32" t="str">
        <x:v>待讨论</x:v>
      </x:c>
      <x:c r="K36" s="18" t="str">
        <x:v>S11</x:v>
      </x:c>
      <x:c r="L36" s="18" t="str">
        <x:v>https://www.testingstandards.net/uploads/7/6/6/4/76643089/standards_2014edition.pdf</x:v>
      </x:c>
    </x:row>
    <x:row r="37" ht="57" customHeight="1">
      <x:c r="A37" s="30" t="str">
        <x:v>R032</x:v>
      </x:c>
      <x:c r="B37" s="18" t="str">
        <x:v>M07</x:v>
      </x:c>
      <x:c r="C37" s="18" t="str">
        <x:v>分文体与开放性评分</x:v>
      </x:c>
      <x:c r="D37" s="18" t="str">
        <x:v>任务、原文、实际评分材料</x:v>
      </x:c>
      <x:c r="E37" s="18" t="str">
        <x:v>知识准确性、文学解释、信息推理、写作目的等各有标准；准备锚定样例和合理答案范围。</x:v>
      </x:c>
      <x:c r="F37" s="18" t="str">
        <x:v>O07标准→M09/M11</x:v>
      </x:c>
      <x:c r="G37" s="18" t="str">
        <x:v>只复核高歧义任务</x:v>
      </x:c>
      <x:c r="H37" s="18" t="str">
        <x:v>AI与教师分歧先审原文和标准，不简单平均分数。</x:v>
      </x:c>
      <x:c r="I37" s="32" t="str">
        <x:v>必须</x:v>
      </x:c>
      <x:c r="J37" s="32" t="str">
        <x:v>待讨论</x:v>
      </x:c>
      <x:c r="K37" s="18" t="str">
        <x:v>S11</x:v>
      </x:c>
      <x:c r="L37" s="18" t="str">
        <x:v>https://www.testingstandards.net/uploads/7/6/6/4/76643089/standards_2014edition.pdf</x:v>
      </x:c>
    </x:row>
    <x:row r="38" ht="57" customHeight="1">
      <x:c r="A38" s="30" t="str">
        <x:v>R033</x:v>
      </x:c>
      <x:c r="B38" s="18" t="str">
        <x:v>M07</x:v>
      </x:c>
      <x:c r="C38" s="18" t="str">
        <x:v>应考方法单列但不喧宾夺主</x:v>
      </x:c>
      <x:c r="D38" s="18" t="str">
        <x:v>实际题目与阶段要求</x:v>
      </x:c>
      <x:c r="E38" s="18" t="str">
        <x:v>训练任务动词、范围条件、证据定位、完整表达、作文审题规划、限时分配和检查；频率适龄。</x:v>
      </x:c>
      <x:c r="F38" s="18" t="str">
        <x:v>O07应考对照→M08</x:v>
      </x:c>
      <x:c r="G38" s="18" t="str">
        <x:v>必要时确认阶段重点</x:v>
      </x:c>
      <x:c r="H38" s="18" t="str">
        <x:v>不以万能模板替代理解；不把七年级日常课变为全年限时刷题。</x:v>
      </x:c>
      <x:c r="I38" s="32" t="str">
        <x:v>必须</x:v>
      </x:c>
      <x:c r="J38" s="32" t="str">
        <x:v>待讨论</x:v>
      </x:c>
      <x:c r="K38" s="18" t="str">
        <x:v>S02;S11</x:v>
      </x:c>
      <x:c r="L38" s="18" t="str">
        <x:v>https://edu.ganzhou.gov.cn/gzsjyj/c102990/202605/ef4819efb15a45ccbc63fada20aea89b.shtml</x:v>
      </x:c>
    </x:row>
    <x:row r="39" ht="57" customHeight="1">
      <x:c r="A39" s="30" t="str">
        <x:v>R034</x:v>
      </x:c>
      <x:c r="B39" s="18" t="str">
        <x:v>M07</x:v>
      </x:c>
      <x:c r="C39" s="18" t="str">
        <x:v>独立、保持、迁移分别观察</x:v>
      </x:c>
      <x:c r="D39" s="18" t="str">
        <x:v>支持条件、新旧材料、后续任务</x:v>
      </x:c>
      <x:c r="E39" s="18" t="str">
        <x:v>规划当堂及正常后续任务中的观察点，不额外加正式考试；提示、间隔与覆盖分开记录。</x:v>
      </x:c>
      <x:c r="F39" s="18" t="str">
        <x:v>O07观察计划→M11/M12</x:v>
      </x:c>
      <x:c r="G39" s="18" t="str">
        <x:v>不要求新增测试</x:v>
      </x:c>
      <x:c r="H39" s="18" t="str">
        <x:v>刚讲原题答对只能说明该条件下表现，不能证明延时迁移。</x:v>
      </x:c>
      <x:c r="I39" s="32" t="str">
        <x:v>必须</x:v>
      </x:c>
      <x:c r="J39" s="32" t="str">
        <x:v>待讨论</x:v>
      </x:c>
      <x:c r="K39" s="18" t="str">
        <x:v>S06;S11</x:v>
      </x:c>
      <x:c r="L39" s="18" t="str">
        <x:v>https://ies.ed.gov/ncee/wwc/PracticeGuide/1</x:v>
      </x:c>
    </x:row>
    <x:row r="40" ht="57" customHeight="1">
      <x:c r="A40" s="30" t="str">
        <x:v>R035</x:v>
      </x:c>
      <x:c r="B40" s="18" t="str">
        <x:v>M07</x:v>
      </x:c>
      <x:c r="C40" s="18" t="str">
        <x:v>测量先行与题目复核</x:v>
      </x:c>
      <x:c r="D40" s="18" t="str">
        <x:v>题目、答案、学生表现</x:v>
      </x:c>
      <x:c r="E40" s="18" t="str">
        <x:v>在归因前检查题干、材料难度、评分口径、作答条件；不合格题停用或重评。</x:v>
      </x:c>
      <x:c r="F40" s="18" t="str">
        <x:v>O07修订或合格→M11</x:v>
      </x:c>
      <x:c r="G40" s="18" t="str">
        <x:v>关键争议才确认</x:v>
      </x:c>
      <x:c r="H40" s="18" t="str">
        <x:v>题目只要求概括时，不能因未详述证据就判为不会解释。</x:v>
      </x:c>
      <x:c r="I40" s="32" t="str">
        <x:v>必须</x:v>
      </x:c>
      <x:c r="J40" s="32" t="str">
        <x:v>待讨论</x:v>
      </x:c>
      <x:c r="K40" s="18" t="str">
        <x:v>S11</x:v>
      </x:c>
      <x:c r="L40" s="18" t="str">
        <x:v>https://www.testingstandards.net/uploads/7/6/6/4/76643089/standards_2014edition.pdf</x:v>
      </x:c>
    </x:row>
    <x:row r="41" ht="57" customHeight="1">
      <x:c r="A41" s="30" t="str">
        <x:v>R036</x:v>
      </x:c>
      <x:c r="B41" s="18" t="str">
        <x:v>M08</x:v>
      </x:c>
      <x:c r="C41" s="18" t="str">
        <x:v>多时间尺度协同</x:v>
      </x:c>
      <x:c r="D41" s="18" t="str">
        <x:v>单元蓝图、课时任务、复现点</x:v>
      </x:c>
      <x:c r="E41" s="18" t="str">
        <x:v>串联学期—单元—课时；不同课承担示范、应用、迁移和修订职责，不每课从零开始。</x:v>
      </x:c>
      <x:c r="F41" s="18" t="str">
        <x:v>O08→M09</x:v>
      </x:c>
      <x:c r="G41" s="18" t="str">
        <x:v>单元一次确认，课时少量改</x:v>
      </x:c>
      <x:c r="H41" s="18" t="str">
        <x:v>后课使用的能力在前课有学习机会，不能无依据跳级。</x:v>
      </x:c>
      <x:c r="I41" s="32" t="str">
        <x:v>必须</x:v>
      </x:c>
      <x:c r="J41" s="32" t="str">
        <x:v>待讨论</x:v>
      </x:c>
      <x:c r="K41" s="18" t="str">
        <x:v>S01;S06</x:v>
      </x:c>
      <x:c r="L41" s="18" t="str">
        <x:v>https://www.moe.gov.cn/srcsite/A26/s8001/202204/t20220420_619921.html</x:v>
      </x:c>
    </x:row>
    <x:row r="42" ht="50" customHeight="1">
      <x:c r="A42" s="30" t="str">
        <x:v>R037</x:v>
      </x:c>
      <x:c r="B42" s="18" t="str">
        <x:v>M08</x:v>
      </x:c>
      <x:c r="C42" s="18" t="str">
        <x:v>真实时间预算</x:v>
      </x:c>
      <x:c r="D42" s="18" t="str">
        <x:v>实际课长、环节与材料</x:v>
      </x:c>
      <x:c r="E42" s="18" t="str">
        <x:v>计入读、想、写、讨论、反馈、修改及转换时间；估计标明估计；预留变化空间。</x:v>
      </x:c>
      <x:c r="F42" s="18" t="str">
        <x:v>O08时间方案→M09/M10</x:v>
      </x:c>
      <x:c r="G42" s="18" t="str">
        <x:v>课长变更只改一次</x:v>
      </x:c>
      <x:c r="H42" s="18" t="str">
        <x:v>课时缩短后不能仅改分钟数字而保留全部活动。</x:v>
      </x:c>
      <x:c r="I42" s="32" t="str">
        <x:v>必须</x:v>
      </x:c>
      <x:c r="J42" s="32" t="str">
        <x:v>待讨论</x:v>
      </x:c>
      <x:c r="K42" s="18" t="str">
        <x:v>项目设计约定</x:v>
      </x:c>
      <x:c r="L42" s="18" t="str"/>
    </x:row>
    <x:row r="43" ht="57" customHeight="1">
      <x:c r="A43" s="30" t="str">
        <x:v>R038</x:v>
      </x:c>
      <x:c r="B43" s="18" t="str">
        <x:v>M08</x:v>
      </x:c>
      <x:c r="C43" s="18" t="str">
        <x:v>超时先删什么</x:v>
      </x:c>
      <x:c r="D43" s="18" t="str">
        <x:v>核心与拓展任务</x:v>
      </x:c>
      <x:c r="E43" s="18" t="str">
        <x:v>标记必须保留/可压缩/可后移；优先减少冗余导入和展示，不总把个人练习赶到课外。</x:v>
      </x:c>
      <x:c r="F43" s="18" t="str">
        <x:v>O08取舍预案→M09</x:v>
      </x:c>
      <x:c r="G43" s="18" t="str">
        <x:v>选择取舍而非重写</x:v>
      </x:c>
      <x:c r="H43" s="18" t="str">
        <x:v>超时预案清楚，并检查删减后目标与证据仍匹配。</x:v>
      </x:c>
      <x:c r="I43" s="32" t="str">
        <x:v>必须</x:v>
      </x:c>
      <x:c r="J43" s="32" t="str">
        <x:v>待讨论</x:v>
      </x:c>
      <x:c r="K43" s="18" t="str">
        <x:v>项目设计约定</x:v>
      </x:c>
      <x:c r="L43" s="18" t="str"/>
    </x:row>
    <x:row r="44" ht="57" customHeight="1">
      <x:c r="A44" s="30" t="str">
        <x:v>R039</x:v>
      </x:c>
      <x:c r="B44" s="18" t="str">
        <x:v>M08</x:v>
      </x:c>
      <x:c r="C44" s="18" t="str">
        <x:v>课外任务总预算</x:v>
      </x:c>
      <x:c r="D44" s="18" t="str">
        <x:v>所有必做任务及已有作业</x:v>
      </x:c>
      <x:c r="E44" s="18" t="str">
        <x:v>预习、阅读、背诵、订正、打卡全计时；每项写明必要性、对象、停止条件与替换旧任务。</x:v>
      </x:c>
      <x:c r="F44" s="18" t="str">
        <x:v>O08课外清单→M09/M12</x:v>
      </x:c>
      <x:c r="G44" s="18" t="str">
        <x:v>默认不新增无依据作业</x:v>
      </x:c>
      <x:c r="H44" s="18" t="str">
        <x:v>不能把家庭任务改名素养活动后从时间统计中消失。</x:v>
      </x:c>
      <x:c r="I44" s="32" t="str">
        <x:v>必须</x:v>
      </x:c>
      <x:c r="J44" s="32" t="str">
        <x:v>待讨论</x:v>
      </x:c>
      <x:c r="K44" s="18" t="str">
        <x:v>项目设计约定</x:v>
      </x:c>
      <x:c r="L44" s="18" t="str"/>
    </x:row>
    <x:row r="45" ht="50" customHeight="1">
      <x:c r="A45" s="30" t="str">
        <x:v>R040</x:v>
      </x:c>
      <x:c r="B45" s="18" t="str">
        <x:v>M08</x:v>
      </x:c>
      <x:c r="C45" s="18" t="str">
        <x:v>共同任务不同支持</x:v>
      </x:c>
      <x:c r="D45" s="18" t="str">
        <x:v>学情假设与任务</x:v>
      </x:c>
      <x:c r="E45" s="18" t="str">
        <x:v>按具体困难增减词语、定位或表达支架；不默认三套永久分层作业。</x:v>
      </x:c>
      <x:c r="F45" s="18" t="str">
        <x:v>O08支持方案→M09</x:v>
      </x:c>
      <x:c r="G45" s="18" t="str">
        <x:v>可选更简单/减少提示</x:v>
      </x:c>
      <x:c r="H45" s="18" t="str">
        <x:v>学生可随任务变化获得不同支持；不形成公开固定等级。</x:v>
      </x:c>
      <x:c r="I45" s="32" t="str">
        <x:v>必须</x:v>
      </x:c>
      <x:c r="J45" s="32" t="str">
        <x:v>待讨论</x:v>
      </x:c>
      <x:c r="K45" s="18" t="str">
        <x:v>项目设计约定</x:v>
      </x:c>
      <x:c r="L45" s="18" t="str"/>
    </x:row>
    <x:row r="46" ht="57" customHeight="1">
      <x:c r="A46" s="30" t="str">
        <x:v>R041</x:v>
      </x:c>
      <x:c r="B46" s="18" t="str">
        <x:v>M09</x:v>
      </x:c>
      <x:c r="C46" s="18" t="str">
        <x:v>单方案分层阅读</x:v>
      </x:c>
      <x:c r="D46" s="18" t="str">
        <x:v>O08与资料依据</x:v>
      </x:c>
      <x:c r="E46" s="18" t="str">
        <x:v>首屏给核心目标、行动、证据、时序、风险和变更；细节可展开；不是给三份长文让教师选。</x:v>
      </x:c>
      <x:c r="F46" s="18" t="str">
        <x:v>O09→教师/M10</x:v>
      </x:c>
      <x:c r="G46" s="18" t="str">
        <x:v>采用/改一处/换任务</x:v>
      </x:c>
      <x:c r="H46" s="18" t="str">
        <x:v>采用前能看清主要任务与关键材料；总阅读负担纳入验收。</x:v>
      </x:c>
      <x:c r="I46" s="32" t="str">
        <x:v>必须</x:v>
      </x:c>
      <x:c r="J46" s="32" t="str">
        <x:v>待讨论</x:v>
      </x:c>
      <x:c r="K46" s="18" t="str">
        <x:v>项目设计约定</x:v>
      </x:c>
      <x:c r="L46" s="18" t="str"/>
    </x:row>
    <x:row r="47" ht="57" customHeight="1">
      <x:c r="A47" s="30" t="str">
        <x:v>R042</x:v>
      </x:c>
      <x:c r="B47" s="18" t="str">
        <x:v>M09</x:v>
      </x:c>
      <x:c r="C47" s="18" t="str">
        <x:v>交付现成一致材料</x:v>
      </x:c>
      <x:c r="D47" s="18" t="str">
        <x:v>O03/O07/O08</x:v>
      </x:c>
      <x:c r="E47" s="18" t="str">
        <x:v>教案、必要投屏、板书、学生任务、答案范围、替代方案同步；能用课本就不额外印单。</x:v>
      </x:c>
      <x:c r="F47" s="18" t="str">
        <x:v>O09整包→课堂</x:v>
      </x:c>
      <x:c r="G47" s="18" t="str">
        <x:v>不再拼课件、另誊写</x:v>
      </x:c>
      <x:c r="H47" s="18" t="str">
        <x:v>学校教案格式由同一方案整理；题号、材料、答案相互一致。</x:v>
      </x:c>
      <x:c r="I47" s="32" t="str">
        <x:v>必须</x:v>
      </x:c>
      <x:c r="J47" s="32" t="str">
        <x:v>待讨论</x:v>
      </x:c>
      <x:c r="K47" s="18" t="str">
        <x:v>项目设计约定</x:v>
      </x:c>
      <x:c r="L47" s="18" t="str"/>
    </x:row>
    <x:row r="48" ht="50" customHeight="1">
      <x:c r="A48" s="30" t="str">
        <x:v>R043</x:v>
      </x:c>
      <x:c r="B48" s="18" t="str">
        <x:v>M09</x:v>
      </x:c>
      <x:c r="C48" s="18" t="str">
        <x:v>必要理解不被隐藏</x:v>
      </x:c>
      <x:c r="D48" s="18" t="str">
        <x:v>新材料、关键题目和争议解释</x:v>
      </x:c>
      <x:c r="E48" s="18" t="str">
        <x:v>让教师能查看实际展示内容及关键答案；简报不能代替对陌生内容的必要审阅。</x:v>
      </x:c>
      <x:c r="F48" s="18" t="str">
        <x:v>O09审阅点→教师</x:v>
      </x:c>
      <x:c r="G48" s="18" t="str">
        <x:v>集中看重要新内容</x:v>
      </x:c>
      <x:c r="H48" s="18" t="str">
        <x:v>不得以一键采用承诺教师无需理解教学内容。</x:v>
      </x:c>
      <x:c r="I48" s="32" t="str">
        <x:v>必须</x:v>
      </x:c>
      <x:c r="J48" s="32" t="str">
        <x:v>待讨论</x:v>
      </x:c>
      <x:c r="K48" s="18" t="str">
        <x:v>项目设计约定</x:v>
      </x:c>
      <x:c r="L48" s="18" t="str"/>
    </x:row>
    <x:row r="49" ht="50" customHeight="1">
      <x:c r="A49" s="30" t="str">
        <x:v>R044</x:v>
      </x:c>
      <x:c r="B49" s="18" t="str">
        <x:v>M09</x:v>
      </x:c>
      <x:c r="C49" s="18" t="str">
        <x:v>修改联动与差异呈现</x:v>
      </x:c>
      <x:c r="D49" s="18" t="str">
        <x:v>教师一项变更</x:v>
      </x:c>
      <x:c r="E49" s="18" t="str">
        <x:v>识别受影响的时间、任务、课件、答案与课外安排；整体更新并说明差异。</x:v>
      </x:c>
      <x:c r="F49" s="18" t="str">
        <x:v>O09新版→M10/教师</x:v>
      </x:c>
      <x:c r="G49" s="18" t="str">
        <x:v>只表达一次变更</x:v>
      </x:c>
      <x:c r="H49" s="18" t="str">
        <x:v>选择增加独立写作时间后，其他环节和课件同步减少。</x:v>
      </x:c>
      <x:c r="I49" s="32" t="str">
        <x:v>必须</x:v>
      </x:c>
      <x:c r="J49" s="32" t="str">
        <x:v>待讨论</x:v>
      </x:c>
      <x:c r="K49" s="18" t="str">
        <x:v>项目设计约定</x:v>
      </x:c>
      <x:c r="L49" s="18" t="str"/>
    </x:row>
    <x:row r="50" ht="50" customHeight="1">
      <x:c r="A50" s="30" t="str">
        <x:v>R045</x:v>
      </x:c>
      <x:c r="B50" s="18" t="str">
        <x:v>M09</x:v>
      </x:c>
      <x:c r="C50" s="18" t="str">
        <x:v>状态与版本不混淆</x:v>
      </x:c>
      <x:c r="D50" s="18" t="str">
        <x:v>草稿、审查、采用、实施记录</x:v>
      </x:c>
      <x:c r="E50" s="18" t="str">
        <x:v>保留版本与采用状态；已教需实际依据；教师采用不是有效性标签。</x:v>
      </x:c>
      <x:c r="F50" s="18" t="str">
        <x:v>O09版本→M11/M12</x:v>
      </x:c>
      <x:c r="G50" s="18" t="str">
        <x:v>可选确认实际进度</x:v>
      </x:c>
      <x:c r="H50" s="18" t="str">
        <x:v>无实施或反馈时，不显示本课成功或学生掌握。</x:v>
      </x:c>
      <x:c r="I50" s="32" t="str">
        <x:v>必须</x:v>
      </x:c>
      <x:c r="J50" s="32" t="str">
        <x:v>待讨论</x:v>
      </x:c>
      <x:c r="K50" s="18" t="str">
        <x:v>项目设计约定</x:v>
      </x:c>
      <x:c r="L50" s="18" t="str"/>
    </x:row>
    <x:row r="51" ht="57" customHeight="1">
      <x:c r="A51" s="30" t="str">
        <x:v>R046</x:v>
      </x:c>
      <x:c r="B51" s="18" t="str">
        <x:v>M10</x:v>
      </x:c>
      <x:c r="C51" s="18" t="str">
        <x:v>硬底线与问题分级</x:v>
      </x:c>
      <x:c r="D51" s="18" t="str">
        <x:v>所有交付与来源</x:v>
      </x:c>
      <x:c r="E51" s="18" t="str">
        <x:v>检查事实、课程版本、安全权限、诚实评价、可执行性和隐性负担；重大问题暂停受影响部分。</x:v>
      </x:c>
      <x:c r="F51" s="18" t="str">
        <x:v>O10→定点修正/交付</x:v>
      </x:c>
      <x:c r="G51" s="18" t="str">
        <x:v>仅处理关键例外</x:v>
      </x:c>
      <x:c r="H51" s="18" t="str">
        <x:v>错误引文不能靠美观或课堂有趣补偿后通过。</x:v>
      </x:c>
      <x:c r="I51" s="32" t="str">
        <x:v>必须</x:v>
      </x:c>
      <x:c r="J51" s="32" t="str">
        <x:v>待讨论</x:v>
      </x:c>
      <x:c r="K51" s="18" t="str">
        <x:v>S11</x:v>
      </x:c>
      <x:c r="L51" s="18" t="str">
        <x:v>https://www.testingstandards.net/uploads/7/6/6/4/76643089/standards_2014edition.pdf</x:v>
      </x:c>
    </x:row>
    <x:row r="52" ht="57" customHeight="1">
      <x:c r="A52" s="30" t="str">
        <x:v>R047</x:v>
      </x:c>
      <x:c r="B52" s="18" t="str">
        <x:v>M10</x:v>
      </x:c>
      <x:c r="C52" s="18" t="str">
        <x:v>设计与效果分开</x:v>
      </x:c>
      <x:c r="D52" s="18" t="str">
        <x:v>方案与学习记录</x:v>
      </x:c>
      <x:c r="E52" s="18" t="str">
        <x:v>方案用可以试用/需修改/暂缓；效果用证据不足/初步支持/条件内重复支持，不设万能总分。</x:v>
      </x:c>
      <x:c r="F52" s="18" t="str">
        <x:v>O10状态→M09/M12</x:v>
      </x:c>
      <x:c r="G52" s="18" t="str">
        <x:v>看结论及依据</x:v>
      </x:c>
      <x:c r="H52" s="18" t="str">
        <x:v>设计通过不能显示教学效果95分或全班掌握。</x:v>
      </x:c>
      <x:c r="I52" s="32" t="str">
        <x:v>必须</x:v>
      </x:c>
      <x:c r="J52" s="32" t="str">
        <x:v>待讨论</x:v>
      </x:c>
      <x:c r="K52" s="18" t="str">
        <x:v>项目设计约定</x:v>
      </x:c>
      <x:c r="L52" s="18" t="str"/>
    </x:row>
    <x:row r="53" ht="50" customHeight="1">
      <x:c r="A53" s="30" t="str">
        <x:v>R048</x:v>
      </x:c>
      <x:c r="B53" s="18" t="str">
        <x:v>M10</x:v>
      </x:c>
      <x:c r="C53" s="18" t="str">
        <x:v>错误按来源返回模块</x:v>
      </x:c>
      <x:c r="D53" s="18" t="str">
        <x:v>事实/目标/联结/方法/评价/预算错误</x:v>
      </x:c>
      <x:c r="E53" s="18" t="str">
        <x:v>提供问题位置、严重性和修正归属；先修再交付，不让教师逐项找错。</x:v>
      </x:c>
      <x:c r="F53" s="18" t="str">
        <x:v>O10修改单→M02—M09</x:v>
      </x:c>
      <x:c r="G53" s="18" t="str">
        <x:v>只确认无法自行决定者</x:v>
      </x:c>
      <x:c r="H53" s="18" t="str">
        <x:v>引文错回M03，任务歧义回M07，超时回M08，版本矛盾回M09。</x:v>
      </x:c>
      <x:c r="I53" s="32" t="str">
        <x:v>必须</x:v>
      </x:c>
      <x:c r="J53" s="32" t="str">
        <x:v>待讨论</x:v>
      </x:c>
      <x:c r="K53" s="18" t="str">
        <x:v>项目设计约定</x:v>
      </x:c>
      <x:c r="L53" s="18" t="str"/>
    </x:row>
    <x:row r="54" ht="57" customHeight="1">
      <x:c r="A54" s="30" t="str">
        <x:v>R049</x:v>
      </x:c>
      <x:c r="B54" s="18" t="str">
        <x:v>M10</x:v>
      </x:c>
      <x:c r="C54" s="18" t="str">
        <x:v>用反例验收而非演示好看</x:v>
      </x:c>
      <x:c r="D54" s="18" t="str">
        <x:v>正常、缺资料、冲突与临时变更案例</x:v>
      </x:c>
      <x:c r="E54" s="18" t="str">
        <x:v>检验版本混用、未学作品、争议答案、课时缩短、无设备、无学情等场景。</x:v>
      </x:c>
      <x:c r="F54" s="18" t="str">
        <x:v>O10验收记录→M12</x:v>
      </x:c>
      <x:c r="G54" s="18" t="str">
        <x:v>试点期少量复核</x:v>
      </x:c>
      <x:c r="H54" s="18" t="str">
        <x:v>缺少前置学习时有合理降级，不继续假装精准备课。</x:v>
      </x:c>
      <x:c r="I54" s="32" t="str">
        <x:v>必须</x:v>
      </x:c>
      <x:c r="J54" s="32" t="str">
        <x:v>待讨论</x:v>
      </x:c>
      <x:c r="K54" s="18" t="str">
        <x:v>S11;S14</x:v>
      </x:c>
      <x:c r="L54" s="18" t="str">
        <x:v>https://www.testingstandards.net/uploads/7/6/6/4/76643089/standards_2014edition.pdf</x:v>
      </x:c>
    </x:row>
    <x:row r="55" ht="57" customHeight="1">
      <x:c r="A55" s="30" t="str">
        <x:v>R050</x:v>
      </x:c>
      <x:c r="B55" s="18" t="str">
        <x:v>M10</x:v>
      </x:c>
      <x:c r="C55" s="18" t="str">
        <x:v>审查边界透明</x:v>
      </x:c>
      <x:c r="D55" s="18" t="str">
        <x:v>审查报告、原始来源</x:v>
      </x:c>
      <x:c r="E55" s="18" t="str">
        <x:v>区分可直接核对与需要专业判断的部分；多个AI一致不是外部验证；未知不包装为通过。</x:v>
      </x:c>
      <x:c r="F55" s="18" t="str">
        <x:v>O10限制说明→教师</x:v>
      </x:c>
      <x:c r="G55" s="18" t="str">
        <x:v>必要的教学判断保留</x:v>
      </x:c>
      <x:c r="H55" s="18" t="str">
        <x:v>无原文时不能宣称引用已核实；估计时长不声称实测。</x:v>
      </x:c>
      <x:c r="I55" s="32" t="str">
        <x:v>必须</x:v>
      </x:c>
      <x:c r="J55" s="32" t="str">
        <x:v>待讨论</x:v>
      </x:c>
      <x:c r="K55" s="18" t="str">
        <x:v>项目设计约定</x:v>
      </x:c>
      <x:c r="L55" s="18" t="str"/>
    </x:row>
    <x:row r="56" ht="50" customHeight="1">
      <x:c r="A56" s="30" t="str">
        <x:v>R051</x:v>
      </x:c>
      <x:c r="B56" s="18" t="str">
        <x:v>M11</x:v>
      </x:c>
      <x:c r="C56" s="18" t="str">
        <x:v>一次可选课后反馈</x:v>
      </x:c>
      <x:c r="D56" s="18" t="str">
        <x:v>课堂已观察表现</x:v>
      </x:c>
      <x:c r="E56" s="18" t="str">
        <x:v>提供达到要求/仍需提示/明显困难/证据不足；仅决策必要时再问原因。</x:v>
      </x:c>
      <x:c r="F56" s="18" t="str">
        <x:v>O11→M12</x:v>
      </x:c>
      <x:c r="G56" s="18" t="str">
        <x:v>不写长复盘，可跳过</x:v>
      </x:c>
      <x:c r="H56" s="18" t="str">
        <x:v>不反馈不会打卡提醒、扣分或自动默认成功。</x:v>
      </x:c>
      <x:c r="I56" s="32" t="str">
        <x:v>必须</x:v>
      </x:c>
      <x:c r="J56" s="32" t="str">
        <x:v>待讨论</x:v>
      </x:c>
      <x:c r="K56" s="18" t="str">
        <x:v>项目设计约定</x:v>
      </x:c>
      <x:c r="L56" s="18" t="str"/>
    </x:row>
    <x:row r="57" ht="57" customHeight="1">
      <x:c r="A57" s="30" t="str">
        <x:v>R052</x:v>
      </x:c>
      <x:c r="B57" s="18" t="str">
        <x:v>M11</x:v>
      </x:c>
      <x:c r="C57" s="18" t="str">
        <x:v>样本与覆盖透明</x:v>
      </x:c>
      <x:c r="D57" s="18" t="str">
        <x:v>已有学生作品、提示与时间条件</x:v>
      </x:c>
      <x:c r="E57" s="18" t="str">
        <x:v>典型样本用于解释；估计全班比例必须有覆盖依据；缺交不直接判不会。</x:v>
      </x:c>
      <x:c r="F57" s="18" t="str">
        <x:v>O11证据范围→M12</x:v>
      </x:c>
      <x:c r="G57" s="18" t="str">
        <x:v>必要时确认代表性</x:v>
      </x:c>
      <x:c r="H57" s="18" t="str">
        <x:v>六份典型错例不能换算全班错误率。</x:v>
      </x:c>
      <x:c r="I57" s="32" t="str">
        <x:v>必须</x:v>
      </x:c>
      <x:c r="J57" s="32" t="str">
        <x:v>待讨论</x:v>
      </x:c>
      <x:c r="K57" s="18" t="str">
        <x:v>S11</x:v>
      </x:c>
      <x:c r="L57" s="18" t="str">
        <x:v>https://www.testingstandards.net/uploads/7/6/6/4/76643089/standards_2014edition.pdf</x:v>
      </x:c>
    </x:row>
    <x:row r="58" ht="57" customHeight="1">
      <x:c r="A58" s="30" t="str">
        <x:v>R053</x:v>
      </x:c>
      <x:c r="B58" s="18" t="str">
        <x:v>M11</x:v>
      </x:c>
      <x:c r="C58" s="18" t="str">
        <x:v>先查尺子再归因</x:v>
      </x:c>
      <x:c r="D58" s="18" t="str">
        <x:v>题目、评分、样本和实施条件</x:v>
      </x:c>
      <x:c r="E58" s="18" t="str">
        <x:v>检查是否测到目标、任务是否可比、评分是否合理、实际时间是否足够，再判断教学困难。</x:v>
      </x:c>
      <x:c r="F58" s="18" t="str">
        <x:v>O11或退M07</x:v>
      </x:c>
      <x:c r="G58" s="18" t="str">
        <x:v>关键评分分歧才问</x:v>
      </x:c>
      <x:c r="H58" s="18" t="str">
        <x:v>卷子变难导致分数降低时，不直接判断方法失效。</x:v>
      </x:c>
      <x:c r="I58" s="32" t="str">
        <x:v>必须</x:v>
      </x:c>
      <x:c r="J58" s="32" t="str">
        <x:v>待讨论</x:v>
      </x:c>
      <x:c r="K58" s="18" t="str">
        <x:v>S11</x:v>
      </x:c>
      <x:c r="L58" s="18" t="str">
        <x:v>https://www.testingstandards.net/uploads/7/6/6/4/76643089/standards_2014edition.pdf</x:v>
      </x:c>
    </x:row>
    <x:row r="59" ht="57" customHeight="1">
      <x:c r="A59" s="30" t="str">
        <x:v>R054</x:v>
      </x:c>
      <x:c r="B59" s="18" t="str">
        <x:v>M11</x:v>
      </x:c>
      <x:c r="C59" s="18" t="str">
        <x:v>多种原因作为待验假设</x:v>
      </x:c>
      <x:c r="D59" s="18" t="str">
        <x:v>核实后的偏差信号</x:v>
      </x:c>
      <x:c r="E59" s="18" t="str">
        <x:v>区分前提缺失、支持不足、活动错位、练习保持、表达或时间问题；不归咎人格家庭。</x:v>
      </x:c>
      <x:c r="F59" s="18" t="str">
        <x:v>O11候选原因→M12</x:v>
      </x:c>
      <x:c r="G59" s="18" t="str">
        <x:v>可选关键瓶颈</x:v>
      </x:c>
      <x:c r="H59" s="18" t="str">
        <x:v>同样失分可得到不同针对性措施，而非统一加阅读题。</x:v>
      </x:c>
      <x:c r="I59" s="32" t="str">
        <x:v>必须</x:v>
      </x:c>
      <x:c r="J59" s="32" t="str">
        <x:v>待讨论</x:v>
      </x:c>
      <x:c r="K59" s="18" t="str">
        <x:v>S04;S08;S09</x:v>
      </x:c>
      <x:c r="L59" s="18" t="str">
        <x:v>https://www.nationalacademies.org/read/24783/chapter/7</x:v>
      </x:c>
    </x:row>
    <x:row r="60" ht="50" customHeight="1">
      <x:c r="A60" s="30" t="str">
        <x:v>R055</x:v>
      </x:c>
      <x:c r="B60" s="18" t="str">
        <x:v>M11</x:v>
      </x:c>
      <x:c r="C60" s="18" t="str">
        <x:v>记录实际调整与例外</x:v>
      </x:c>
      <x:c r="D60" s="18" t="str">
        <x:v>教师实施与临时变化</x:v>
      </x:c>
      <x:c r="E60" s="18" t="str">
        <x:v>允许专业临场变化；区分未实施和实施后无效；不以照做比例考核教师。</x:v>
      </x:c>
      <x:c r="F60" s="18" t="str">
        <x:v>O11条件说明→M12</x:v>
      </x:c>
      <x:c r="G60" s="18" t="str">
        <x:v>有重要差异时选填</x:v>
      </x:c>
      <x:c r="H60" s="18" t="str">
        <x:v>取消活动但完成目标，不应因偏离原计划被判教学不合格。</x:v>
      </x:c>
      <x:c r="I60" s="32" t="str">
        <x:v>必须</x:v>
      </x:c>
      <x:c r="J60" s="32" t="str">
        <x:v>待讨论</x:v>
      </x:c>
      <x:c r="K60" s="18" t="str">
        <x:v>项目设计约定</x:v>
      </x:c>
      <x:c r="L60" s="18" t="str"/>
    </x:row>
    <x:row r="61" ht="57" customHeight="1">
      <x:c r="A61" s="30" t="str">
        <x:v>R056</x:v>
      </x:c>
      <x:c r="B61" s="18" t="str">
        <x:v>M12</x:v>
      </x:c>
      <x:c r="C61" s="18" t="str">
        <x:v>最小必要纠正</x:v>
      </x:c>
      <x:c r="D61" s="18" t="str">
        <x:v>可信偏差、候选原因</x:v>
      </x:c>
      <x:c r="E61" s="18" t="str">
        <x:v>生成原因假设、替换动作、成本、预期观察、否定信号与返回模块；优先替换而非加量。</x:v>
      </x:c>
      <x:c r="F61" s="18" t="str">
        <x:v>O12→相关模块</x:v>
      </x:c>
      <x:c r="G61" s="18" t="str">
        <x:v>采用/不适配/暂不改</x:v>
      </x:c>
      <x:c r="H61" s="18" t="str">
        <x:v>每次调整说明删减什么以及如何知道没奏效。</x:v>
      </x:c>
      <x:c r="I61" s="32" t="str">
        <x:v>必须</x:v>
      </x:c>
      <x:c r="J61" s="32" t="str">
        <x:v>待讨论</x:v>
      </x:c>
      <x:c r="K61" s="18" t="str">
        <x:v>S09;S14</x:v>
      </x:c>
      <x:c r="L61" s="18" t="str">
        <x:v>https://educationendowmentfoundation.org.uk/education-evidence/guidance-reports/feedback</x:v>
      </x:c>
    </x:row>
    <x:row r="62" ht="50" customHeight="1">
      <x:c r="A62" s="30" t="str">
        <x:v>R057</x:v>
      </x:c>
      <x:c r="B62" s="18" t="str">
        <x:v>M12</x:v>
      </x:c>
      <x:c r="C62" s="18" t="str">
        <x:v>用正常后续任务复核</x:v>
      </x:c>
      <x:c r="D62" s="18" t="str">
        <x:v>O07既有观察安排</x:v>
      </x:c>
      <x:c r="E62" s="18" t="str">
        <x:v>观察新材料独立使用及适当延时保持；不为了验证新增正式测验和数据录入。</x:v>
      </x:c>
      <x:c r="F62" s="18" t="str">
        <x:v>O12证据更新→M04/M05</x:v>
      </x:c>
      <x:c r="G62" s="18" t="str">
        <x:v>反馈可选</x:v>
      </x:c>
      <x:c r="H62" s="18" t="str">
        <x:v>重复原题改善不被单独宣称为能力迁移。</x:v>
      </x:c>
      <x:c r="I62" s="32" t="str">
        <x:v>必须</x:v>
      </x:c>
      <x:c r="J62" s="32" t="str">
        <x:v>待讨论</x:v>
      </x:c>
      <x:c r="K62" s="18" t="str">
        <x:v>S06;S11</x:v>
      </x:c>
      <x:c r="L62" s="18" t="str">
        <x:v>https://ies.ed.gov/ncee/wwc/PracticeGuide/1</x:v>
      </x:c>
    </x:row>
    <x:row r="63" ht="57" customHeight="1">
      <x:c r="A63" s="30" t="str">
        <x:v>R058</x:v>
      </x:c>
      <x:c r="B63" s="18" t="str">
        <x:v>M12</x:v>
      </x:c>
      <x:c r="C63" s="18" t="str">
        <x:v>保留、修改、撤回有条件</x:v>
      </x:c>
      <x:c r="D63" s="18" t="str">
        <x:v>表现、成本、适配与不确定性</x:v>
      </x:c>
      <x:c r="E63" s="18" t="str">
        <x:v>严重错误即修；非紧急问题不随一次波动大改；无可比条件只写初步证据，不作因果保证。</x:v>
      </x:c>
      <x:c r="F63" s="18" t="str">
        <x:v>O12决策→M02—M09</x:v>
      </x:c>
      <x:c r="G63" s="18" t="str">
        <x:v>关键方向变更确认</x:v>
      </x:c>
      <x:c r="H63" s="18" t="str">
        <x:v>成绩提高但作业大增时不能只报提分成功。</x:v>
      </x:c>
      <x:c r="I63" s="32" t="str">
        <x:v>必须</x:v>
      </x:c>
      <x:c r="J63" s="32" t="str">
        <x:v>待讨论</x:v>
      </x:c>
      <x:c r="K63" s="18" t="str">
        <x:v>S11;S14</x:v>
      </x:c>
      <x:c r="L63" s="18" t="str">
        <x:v>https://www.testingstandards.net/uploads/7/6/6/4/76643089/standards_2014edition.pdf</x:v>
      </x:c>
    </x:row>
    <x:row r="64" ht="57" customHeight="1">
      <x:c r="A64" s="30" t="str">
        <x:v>R059</x:v>
      </x:c>
      <x:c r="B64" s="18" t="str">
        <x:v>M12</x:v>
      </x:c>
      <x:c r="C64" s="18" t="str">
        <x:v>失败案例与规则更新</x:v>
      </x:c>
      <x:c r="D64" s="18" t="str">
        <x:v>版本、原因、修正及实际证据</x:v>
      </x:c>
      <x:c r="E64" s="18" t="str">
        <x:v>更新资源、方法适用条件与默认偏好；保存旧依据；错误材料停用；采用率不等于学习效果。</x:v>
      </x:c>
      <x:c r="F64" s="18" t="str">
        <x:v>I06/I09更新→下一轮</x:v>
      </x:c>
      <x:c r="G64" s="18" t="str">
        <x:v>只看重要变更差异</x:v>
      </x:c>
      <x:c r="H64" s="18" t="str">
        <x:v>同类错误修复后不再反复推给教师；历史原始作品不被覆盖。</x:v>
      </x:c>
      <x:c r="I64" s="32" t="str">
        <x:v>必须</x:v>
      </x:c>
      <x:c r="J64" s="32" t="str">
        <x:v>待讨论</x:v>
      </x:c>
      <x:c r="K64" s="18" t="str">
        <x:v>S14</x:v>
      </x:c>
      <x:c r="L64" s="18" t="str">
        <x:v>https://educationendowmentfoundation.org.uk/education-evidence/guidance-reports/implementation/process</x:v>
      </x:c>
    </x:row>
    <x:row r="65" ht="57" customHeight="1">
      <x:c r="A65" s="30" t="str">
        <x:v>R060</x:v>
      </x:c>
      <x:c r="B65" s="18" t="str">
        <x:v>M12</x:v>
      </x:c>
      <x:c r="C65" s="18" t="str">
        <x:v>师生与支持方成本一起核算</x:v>
      </x:c>
      <x:c r="D65" s="18" t="str">
        <x:v>试点时间和成果记录</x:v>
      </x:c>
      <x:c r="E65" s="18" t="str">
        <x:v>计算教师理解核对返工、学生全部必做时间、支持方维护；同质量少时间或同时间更好均可有价值。</x:v>
      </x:c>
      <x:c r="F65" s="18" t="str">
        <x:v>试点判断→是否扩围</x:v>
      </x:c>
      <x:c r="G65" s="18" t="str">
        <x:v>不要求逐分钟日填</x:v>
      </x:c>
      <x:c r="H65" s="18" t="str">
        <x:v>不能仅报生成快或点击少；不以另一个人长期救场假装自动减负。</x:v>
      </x:c>
      <x:c r="I65" s="32" t="str">
        <x:v>必须</x:v>
      </x:c>
      <x:c r="J65" s="32" t="str">
        <x:v>待讨论</x:v>
      </x:c>
      <x:c r="K65" s="18" t="str">
        <x:v>项目设计约定</x:v>
      </x:c>
      <x:c r="L65" s="18" t="str"/>
    </x:row>
  </x:sheetData>
  <x:mergeCells>
    <x:mergeCell ref="A1:L1"/>
    <x:mergeCell ref="A2:L3"/>
  </x:mergeCells>
  <x:conditionalFormatting sqref="J6:J65">
    <x:cfRule type="expression" dxfId="0" priority="1">
      <x:formula>J6="待补资料"</x:formula>
    </x:cfRule>
    <x:cfRule type="expression" dxfId="1" priority="2">
      <x:formula>J6="已确认"</x:formula>
    </x:cfRule>
    <x:cfRule type="expression" dxfId="2" priority="3">
      <x:formula>J6="暂缓"</x:formula>
    </x:cfRule>
  </x:conditionalFormatting>
  <x:dataValidations count="2">
    <x:dataValidation type="list" sqref="I6:I65">
      <x:formula1>"必须,应有,可后续"</x:formula1>
    </x:dataValidation>
    <x:dataValidation type="list" sqref="J6:J65">
      <x:formula1>"待讨论,已确认,待补资料,暂缓"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a3cac4f3db9458f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33" hidden="0" customWidth="1"/>
    <x:col min="3" max="3" width="40" hidden="0" customWidth="1"/>
    <x:col min="4" max="4" width="40" hidden="0" customWidth="1"/>
    <x:col min="5" max="5" width="40" hidden="0" customWidth="1"/>
    <x:col min="6" max="6" width="40" hidden="0" customWidth="1"/>
    <x:col min="7" max="7" width="21" hidden="0" customWidth="1"/>
    <x:col min="8" max="8" width="40" hidden="0" customWidth="1"/>
  </x:cols>
  <x:sheetData>
    <x:row r="1" ht="38" customHeight="1">
      <x:c r="A1" s="4" t="str">
        <x:v>学科内容、学习方式与应考要求</x:v>
      </x:c>
      <x:c r="B1" s="4"/>
      <x:c r="C1" s="4"/>
      <x:c r="D1" s="4"/>
      <x:c r="E1" s="4"/>
      <x:c r="F1" s="4"/>
      <x:c r="G1" s="4"/>
      <x:c r="H1" s="4"/>
    </x:row>
    <x:row r="2">
      <x:c r="A2" s="11" t="str">
        <x:v>课程内容、真实学习证据、考试执行要求分别表达；不把全部语文变成答题模板。</x:v>
      </x:c>
      <x:c r="B2" s="11"/>
      <x:c r="C2" s="11"/>
      <x:c r="D2" s="11"/>
      <x:c r="E2" s="11"/>
      <x:c r="F2" s="11"/>
      <x:c r="G2" s="11"/>
      <x:c r="H2" s="11"/>
    </x:row>
    <x:row r="3">
      <x:c r="A3" s="11"/>
      <x:c r="B3" s="11"/>
      <x:c r="C3" s="11"/>
      <x:c r="D3" s="11"/>
      <x:c r="E3" s="11"/>
      <x:c r="F3" s="11"/>
      <x:c r="G3" s="11"/>
      <x:c r="H3" s="11"/>
    </x:row>
    <x:row r="4" ht="10" customHeight="1"/>
    <x:row r="5" ht="33" customHeight="1">
      <x:c r="A5" s="25" t="str">
        <x:v>类别ID</x:v>
      </x:c>
      <x:c r="B5" s="25" t="str">
        <x:v>内容/方向</x:v>
      </x:c>
      <x:c r="C5" s="25" t="str">
        <x:v>核心内容</x:v>
      </x:c>
      <x:c r="D5" s="25" t="str">
        <x:v>教学与学习安排</x:v>
      </x:c>
      <x:c r="E5" s="25" t="str">
        <x:v>独立证据</x:v>
      </x:c>
      <x:c r="F5" s="25" t="str">
        <x:v>应考要求/边界</x:v>
      </x:c>
      <x:c r="G5" s="25" t="str">
        <x:v>依据ID</x:v>
      </x:c>
      <x:c r="H5" s="25" t="str">
        <x:v>主要来源URL</x:v>
      </x:c>
    </x:row>
    <x:row r="6" ht="50" customHeight="1">
      <x:c r="A6" s="30" t="str">
        <x:v>C01</x:v>
      </x:c>
      <x:c r="B6" s="18" t="str">
        <x:v>文化自信／语言运用／思维能力／审美创造</x:v>
      </x:c>
      <x:c r="C6" s="18" t="str">
        <x:v>课程方向，不是四项独立打分项目</x:v>
      </x:c>
      <x:c r="D6" s="18" t="str">
        <x:v>在具体作品、语言实践、表达和交流中体现；每课聚焦，单元检查覆盖</x:v>
      </x:c>
      <x:c r="E6" s="18" t="str">
        <x:v>学习作品、语言解释、独立表达、朗读与讨论等多类证据</x:v>
      </x:c>
      <x:c r="F6" s="18" t="str">
        <x:v>不把不便直接考试的课程价值删掉</x:v>
      </x:c>
      <x:c r="G6" s="18" t="str">
        <x:v>S01</x:v>
      </x:c>
      <x:c r="H6" s="18" t="str">
        <x:v>https://www.moe.gov.cn/srcsite/A26/s8001/202204/t20220420_619921.html</x:v>
      </x:c>
    </x:row>
    <x:row r="7" ht="57" customHeight="1">
      <x:c r="A7" s="30" t="str">
        <x:v>C02</x:v>
      </x:c>
      <x:c r="B7" s="18" t="str">
        <x:v>六个学习任务群</x:v>
      </x:c>
      <x:c r="C7" s="18" t="str">
        <x:v>语言文字积累与梳理；实用性阅读与交流；文学阅读与创意表达；思辨性阅读与表达；整本书阅读；跨学科学习</x:v>
      </x:c>
      <x:c r="D7" s="18" t="str">
        <x:v>以实际单元和第四学段要求组织；不是六个孤立资料夹，也不要求每课凑齐</x:v>
      </x:c>
      <x:c r="E7" s="18" t="str">
        <x:v>任务群—内容—学生动作—证据的对应记录</x:v>
      </x:c>
      <x:c r="F7" s="18" t="str">
        <x:v>逐条原文和本校实施口径接入后核对；不虚构课标页码</x:v>
      </x:c>
      <x:c r="G7" s="18" t="str">
        <x:v>S01;S12</x:v>
      </x:c>
      <x:c r="H7" s="18" t="str">
        <x:v>https://www.moe.gov.cn/srcsite/A26/s8001/202204/t20220420_619921.html</x:v>
      </x:c>
    </x:row>
    <x:row r="8" ht="50" customHeight="1">
      <x:c r="A8" s="30" t="str">
        <x:v>C03</x:v>
      </x:c>
      <x:c r="B8" s="18" t="str">
        <x:v>语言文字积累与运用</x:v>
      </x:c>
      <x:c r="C8" s="18" t="str">
        <x:v>字音字形、词义、句段、语法修辞及语境使用</x:v>
      </x:c>
      <x:c r="D8" s="18" t="str">
        <x:v>先理解语境，再辨析/运用；针对性提取与间隔复现，区别识别和产出</x:v>
      </x:c>
      <x:c r="E8" s="18" t="str">
        <x:v>新语境中准确理解或表达；必要知识在延时任务中可调取</x:v>
      </x:c>
      <x:c r="F8" s="18" t="str">
        <x:v>审清选择/修改/补写要求；准确书写；不只机械抄写</x:v>
      </x:c>
      <x:c r="G8" s="18" t="str">
        <x:v>S06</x:v>
      </x:c>
      <x:c r="H8" s="18" t="str">
        <x:v>https://ies.ed.gov/ncee/wwc/PracticeGuide/1</x:v>
      </x:c>
    </x:row>
    <x:row r="9" ht="50" customHeight="1">
      <x:c r="A9" s="30" t="str">
        <x:v>C04</x:v>
      </x:c>
      <x:c r="B9" s="18" t="str">
        <x:v>古诗词阅读与积累</x:v>
      </x:c>
      <x:c r="C9" s="18" t="str">
        <x:v>诗意、节奏、意象、语言、情感及有必要的背景</x:v>
      </x:c>
      <x:c r="D9" s="18" t="str">
        <x:v>朗读—细读—相关比较—返回本诗；作者生平仅在能解释具体问题时使用</x:v>
      </x:c>
      <x:c r="E9" s="18" t="str">
        <x:v>根据词句解释感受，比较同意象不同作用；准确理解与默写分别观察</x:v>
      </x:c>
      <x:c r="F9" s="18" t="str">
        <x:v>范围辨识、语境默写、解释表达效果；不预设见月必思乡</x:v>
      </x:c>
      <x:c r="G9" s="18" t="str">
        <x:v>S01;S12;S13</x:v>
      </x:c>
      <x:c r="H9" s="18" t="str">
        <x:v>https://www.moe.gov.cn/srcsite/A26/s8001/202204/t20220420_619921.html</x:v>
      </x:c>
    </x:row>
    <x:row r="10" ht="50" customHeight="1">
      <x:c r="A10" s="30" t="str">
        <x:v>C05</x:v>
      </x:c>
      <x:c r="B10" s="18" t="str">
        <x:v>文言文阅读</x:v>
      </x:c>
      <x:c r="C10" s="18" t="str">
        <x:v>字词句式、句意、叙事/论述关系与文化语境</x:v>
      </x:c>
      <x:c r="D10" s="18" t="str">
        <x:v>结合注释与上下文理解；词义对比、翻译关键处、概括与有依据判断</x:v>
      </x:c>
      <x:c r="E10" s="18" t="str">
        <x:v>由语言理解进入篇章理解，换适当材料时说明推断依据</x:v>
      </x:c>
      <x:c r="F10" s="18" t="str">
        <x:v>题干范围、关键实词虚词、句意完整；不让背景常识替代字句证据</x:v>
      </x:c>
      <x:c r="G10" s="18" t="str">
        <x:v>S01</x:v>
      </x:c>
      <x:c r="H10" s="18" t="str">
        <x:v>https://www.moe.gov.cn/srcsite/A26/s8001/202204/t20220420_619921.html</x:v>
      </x:c>
    </x:row>
    <x:row r="11" ht="50" customHeight="1">
      <x:c r="A11" s="30" t="str">
        <x:v>C06</x:v>
      </x:c>
      <x:c r="B11" s="18" t="str">
        <x:v>现代文学阅读</x:v>
      </x:c>
      <x:c r="C11" s="18" t="str">
        <x:v>叙事、人物、视角、结构、语言、意蕴与阅读体验</x:v>
      </x:c>
      <x:c r="D11" s="18" t="str">
        <x:v>整体阅读＋细节比较；解释与讨论；读写迁移；保留合理多义性</x:v>
      </x:c>
      <x:c r="E11" s="18" t="str">
        <x:v>解释由文本支持；能处理细节矛盾，区分读者感受与事实</x:v>
      </x:c>
      <x:c r="F11" s="18" t="str">
        <x:v>按题目任务组织答案，避免只贴性格标签、只抄原句或万能作用套话</x:v>
      </x:c>
      <x:c r="G11" s="18" t="str">
        <x:v>S12;S11</x:v>
      </x:c>
      <x:c r="H11" s="18" t="str">
        <x:v>https://www.pep.com.cn/bks/kcjcjf/xszh/202503/W020250407394952554339.pdf</x:v>
      </x:c>
    </x:row>
    <x:row r="12" ht="57" customHeight="1">
      <x:c r="A12" s="30" t="str">
        <x:v>C07</x:v>
      </x:c>
      <x:c r="B12" s="18" t="str">
        <x:v>信息性/说明性/议论及多文本阅读</x:v>
      </x:c>
      <x:c r="C12" s="18" t="str">
        <x:v>信息结构、概念、条件、论证、来源与多种表征</x:v>
      </x:c>
      <x:c r="D12" s="18" t="str">
        <x:v>提取概括—比较组织—检验依据—形成说明；可用真实图表材料</x:v>
      </x:c>
      <x:c r="E12" s="18" t="str">
        <x:v>区分事实观点、相关与支持，识别限定条件，整合多源信息</x:v>
      </x:c>
      <x:c r="F12" s="18" t="str">
        <x:v>准确范围、题目所需证据和结论，不把个人常识当文本已给信息</x:v>
      </x:c>
      <x:c r="G12" s="18" t="str">
        <x:v>S10;S11</x:v>
      </x:c>
      <x:c r="H12" s="18" t="str">
        <x:v>https://educationendowmentfoundation.org.uk/education-evidence/guidance-reports/literacy-ks3-ks4</x:v>
      </x:c>
    </x:row>
    <x:row r="13" ht="50" customHeight="1">
      <x:c r="A13" s="30" t="str">
        <x:v>C08</x:v>
      </x:c>
      <x:c r="B13" s="18" t="str">
        <x:v>整本书阅读</x:v>
      </x:c>
      <x:c r="C13" s="18" t="str">
        <x:v>完整作品、人物与情节变化、叙述与主题、个人阅读经验</x:v>
      </x:c>
      <x:c r="D13" s="18" t="str">
        <x:v>合理阅读进程＋关键位置讨论＋回到原著核实；梗概用于定位而非替代</x:v>
      </x:c>
      <x:c r="E13" s="18" t="str">
        <x:v>能结合不同部分理解人物/主题并核对细节，保留完整阅读体验</x:v>
      </x:c>
      <x:c r="F13" s="18" t="str">
        <x:v>作品内容、人物证据及有依据比较；不把短视频/标签背诵当读过</x:v>
      </x:c>
      <x:c r="G13" s="18" t="str">
        <x:v>S01;S12</x:v>
      </x:c>
      <x:c r="H13" s="18" t="str">
        <x:v>https://www.moe.gov.cn/srcsite/A26/s8001/202204/t20220420_619921.html</x:v>
      </x:c>
    </x:row>
    <x:row r="14" ht="50" customHeight="1">
      <x:c r="A14" s="30" t="str">
        <x:v>C09</x:v>
      </x:c>
      <x:c r="B14" s="18" t="str">
        <x:v>写作与创意表达</x:v>
      </x:c>
      <x:c r="C14" s="18" t="str">
        <x:v>真实目的、读者、选材、组织、语言、完整作品与修改</x:v>
      </x:c>
      <x:c r="D14" s="18" t="str">
        <x:v>示范—写作—反馈—再写；读写结合；片段训练服务整篇表达</x:v>
      </x:c>
      <x:c r="E14" s="18" t="str">
        <x:v>初稿与修改稿能看到目标改进；新任务独立完成，不只仿写换词</x:v>
      </x:c>
      <x:c r="F14" s="18" t="str">
        <x:v>审题限定、立意选材、结构与时间分配、书写检查；不以背整篇模板代替表达</x:v>
      </x:c>
      <x:c r="G14" s="18" t="str">
        <x:v>S07;S09</x:v>
      </x:c>
      <x:c r="H14" s="18" t="str">
        <x:v>https://ies.ed.gov/ncee/wwc/PracticeGuide/22</x:v>
      </x:c>
    </x:row>
    <x:row r="15" ht="50" customHeight="1">
      <x:c r="A15" s="30" t="str">
        <x:v>C10</x:v>
      </x:c>
      <x:c r="B15" s="18" t="str">
        <x:v>口语交流与跨学科学习</x:v>
      </x:c>
      <x:c r="C15" s="18" t="str">
        <x:v>倾听、澄清、复述、讨论、陈述；学科特定读写要求</x:v>
      </x:c>
      <x:c r="D15" s="18" t="str">
        <x:v>真实交流目的，先独立再合作；在另一学科原有任务中明确迁移</x:v>
      </x:c>
      <x:c r="E15" s="18" t="str">
        <x:v>能回应他人、说明依据；其他学科任务中的具体错误变化</x:v>
      </x:c>
      <x:c r="F15" s="18" t="str">
        <x:v>不因书面卷未直接考查就删除；不声称语文提升自动提高所有科目</x:v>
      </x:c>
      <x:c r="G15" s="18" t="str">
        <x:v>S01;S10</x:v>
      </x:c>
      <x:c r="H15" s="18" t="str">
        <x:v>https://www.moe.gov.cn/srcsite/A26/s8001/202204/t20220420_619921.html</x:v>
      </x:c>
    </x:row>
    <x:row r="16" ht="57" customHeight="1">
      <x:c r="A16" s="30" t="str">
        <x:v>C11</x:v>
      </x:c>
      <x:c r="B16" s="18" t="str">
        <x:v>应考方法与考试执行</x:v>
      </x:c>
      <x:c r="C16" s="18" t="str">
        <x:v>审题、范围、任务动词、证据与表达、作文规划、限时分配与检查</x:v>
      </x:c>
      <x:c r="D16" s="18" t="str">
        <x:v>从实际真题/既有评价提取需要；分阶段安排，初一不套初三全天训练</x:v>
      </x:c>
      <x:c r="E16" s="18" t="str">
        <x:v>能力失分与执行失分区分；在可比任务中观察方法是否稳定</x:v>
      </x:c>
      <x:c r="F16" s="18" t="str">
        <x:v>2026总分120、时长150分钟已核；详细题型分值和未来年份待核，不预测押题</x:v>
      </x:c>
      <x:c r="G16" s="18" t="str">
        <x:v>S02;S11</x:v>
      </x:c>
      <x:c r="H16" s="18" t="str">
        <x:v>https://edu.ganzhou.gov.cn/gzsjyj/c102990/202605/ef4819efb15a45ccbc63fada20aea89b.shtml</x:v>
      </x:c>
    </x:row>
  </x:sheetData>
  <x:mergeCells>
    <x:mergeCell ref="A1:H1"/>
    <x:mergeCell ref="A2:H3"/>
  </x:mergeCells>
  <x:pageMargins left="0.7" right="0.7" top="0.75" bottom="0.75" header="0.3" footer="0.3"/>
  <x:tableParts count="1">
    <x:tablePart xmlns:r="http://schemas.openxmlformats.org/officeDocument/2006/relationships" r:id="R15810142514b4aaa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31" hidden="0" customWidth="1"/>
    <x:col min="3" max="3" width="35" hidden="0" customWidth="1"/>
    <x:col min="4" max="4" width="40" hidden="0" customWidth="1"/>
    <x:col min="5" max="5" width="40" hidden="0" customWidth="1"/>
    <x:col min="6" max="6" width="31" hidden="0" customWidth="1"/>
    <x:col min="7" max="7" width="40" hidden="0" customWidth="1"/>
    <x:col min="8" max="8" width="40" hidden="0" customWidth="1"/>
    <x:col min="9" max="9" width="23" hidden="0" customWidth="1"/>
    <x:col min="10" max="10" width="40" hidden="0" customWidth="1"/>
  </x:cols>
  <x:sheetData>
    <x:row r="1" ht="38" customHeight="1">
      <x:c r="A1" s="4" t="str">
        <x:v>方法必须有适用条件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>
      <x:c r="A2" s="11" t="str">
        <x:v>研究机制、学科方法与本项目设计假设分开。证据评级不等同于本班效果，所有方法都允许被纠正。</x:v>
      </x:c>
      <x:c r="B2" s="11"/>
      <x:c r="C2" s="11"/>
      <x:c r="D2" s="11"/>
      <x:c r="E2" s="11"/>
      <x:c r="F2" s="11"/>
      <x:c r="G2" s="11"/>
      <x:c r="H2" s="11"/>
      <x:c r="I2" s="11"/>
      <x:c r="J2" s="11"/>
    </x:row>
    <x:row r="3">
      <x:c r="A3" s="11"/>
      <x:c r="B3" s="11"/>
      <x:c r="C3" s="11"/>
      <x:c r="D3" s="11"/>
      <x:c r="E3" s="11"/>
      <x:c r="F3" s="11"/>
      <x:c r="G3" s="11"/>
      <x:c r="H3" s="11"/>
      <x:c r="I3" s="11"/>
      <x:c r="J3" s="11"/>
    </x:row>
    <x:row r="4" ht="10" customHeight="1"/>
    <x:row r="5" ht="33" customHeight="1">
      <x:c r="A5" s="25" t="str">
        <x:v>方法ID</x:v>
      </x:c>
      <x:c r="B5" s="25" t="str">
        <x:v>方法</x:v>
      </x:c>
      <x:c r="C5" s="25" t="str">
        <x:v>适用困难/目标</x:v>
      </x:c>
      <x:c r="D5" s="25" t="str">
        <x:v>理论与证据定位</x:v>
      </x:c>
      <x:c r="E5" s="25" t="str">
        <x:v>具体学生行动</x:v>
      </x:c>
      <x:c r="F5" s="25" t="str">
        <x:v>适用内容</x:v>
      </x:c>
      <x:c r="G5" s="25" t="str">
        <x:v>如何观察</x:v>
      </x:c>
      <x:c r="H5" s="25" t="str">
        <x:v>限制/失效条件</x:v>
      </x:c>
      <x:c r="I5" s="25" t="str">
        <x:v>依据ID</x:v>
      </x:c>
      <x:c r="J5" s="25" t="str">
        <x:v>主要来源URL</x:v>
      </x:c>
    </x:row>
    <x:row r="6" ht="50" customHeight="1">
      <x:c r="A6" s="30" t="str">
        <x:v>T01</x:v>
      </x:c>
      <x:c r="B6" s="18" t="str">
        <x:v>有意义联结与知识组织</x:v>
      </x:c>
      <x:c r="C6" s="18" t="str">
        <x:v>新旧内容相关，但孤立记忆/背景断裂妨碍理解</x:v>
      </x:c>
      <x:c r="D6" s="18" t="str">
        <x:v>联系既有知识与当前证据，形成可解释关系；研究为一般机制依据</x:v>
      </x:c>
      <x:c r="E6" s="18" t="str">
        <x:v>激活相关旧知→比较相同与不同→回到新文本解释→后续自然复现</x:v>
      </x:c>
      <x:c r="F6" s="18" t="str">
        <x:v>文学、名著、词义、文化主题、读写联系</x:v>
      </x:c>
      <x:c r="G6" s="18" t="str">
        <x:v>学生能说明联系及边界，独立解释新文本而非只讲故事</x:v>
      </x:c>
      <x:c r="H6" s="18" t="str">
        <x:v>联系过多、牵强同主题、虚构已学、背景代替文本时删减</x:v>
      </x:c>
      <x:c r="I6" s="18" t="str">
        <x:v>S04;S12</x:v>
      </x:c>
      <x:c r="J6" s="18" t="str">
        <x:v>https://www.nationalacademies.org/read/24783/chapter/7</x:v>
      </x:c>
    </x:row>
    <x:row r="7" ht="50" customHeight="1">
      <x:c r="A7" s="30" t="str">
        <x:v>T02</x:v>
      </x:c>
      <x:c r="B7" s="18" t="str">
        <x:v>知人论世与跨作品比较</x:v>
      </x:c>
      <x:c r="C7" s="18" t="str">
        <x:v>生平/时代/作品发展确实有助解决本篇问题</x:v>
      </x:c>
      <x:c r="D7" s="18" t="str">
        <x:v>学科解读方法＋一般知识联结机制；非本场景效果已证</x:v>
      </x:c>
      <x:c r="E7" s="18" t="str">
        <x:v>文本疑问→核实必要背景→选择少量对照→返回词句；区分三条时间线</x:v>
      </x:c>
      <x:c r="F7" s="18" t="str">
        <x:v>诗词、作者专题、整本书及文体比较</x:v>
      </x:c>
      <x:c r="G7" s="18" t="str">
        <x:v>可区分史实、推测、文本依据，并提出受证据约束的理解</x:v>
      </x:c>
      <x:c r="H7" s="18" t="str">
        <x:v>不要线性套作者一生，不给每个意象配固定事件，不强行讲完全生平</x:v>
      </x:c>
      <x:c r="I7" s="18" t="str">
        <x:v>S04;S12;S13</x:v>
      </x:c>
      <x:c r="J7" s="18" t="str">
        <x:v>https://www.nationalacademies.org/read/24783/chapter/7</x:v>
      </x:c>
    </x:row>
    <x:row r="8" ht="50" customHeight="1">
      <x:c r="A8" s="30" t="str">
        <x:v>T03</x:v>
      </x:c>
      <x:c r="B8" s="18" t="str">
        <x:v>文本细读、朗读与变式比较</x:v>
      </x:c>
      <x:c r="C8" s="18" t="str">
        <x:v>语言形式、结构或语气如何产生意义不清</x:v>
      </x:c>
      <x:c r="D8" s="18" t="str">
        <x:v>语文学科方法；具体效能依文本、目的与学生起点验证</x:v>
      </x:c>
      <x:c r="E8" s="18" t="str">
        <x:v>朗读/重读→比较删改前后或不同表述→说明差异→回到整体意义</x:v>
      </x:c>
      <x:c r="F8" s="18" t="str">
        <x:v>诗词、散文、叙事及议论语言</x:v>
      </x:c>
      <x:c r="G8" s="18" t="str">
        <x:v>解释准确连接词句、情境和表达效果，不只说生动形象</x:v>
      </x:c>
      <x:c r="H8" s="18" t="str">
        <x:v>比较不能脱离全文；不是所有修辞都有相同效果</x:v>
      </x:c>
      <x:c r="I8" s="18" t="str">
        <x:v>S01;S12</x:v>
      </x:c>
      <x:c r="J8" s="18" t="str">
        <x:v>https://www.moe.gov.cn/srcsite/A26/s8001/202204/t20220420_619921.html</x:v>
      </x:c>
    </x:row>
    <x:row r="9" ht="50" customHeight="1">
      <x:c r="A9" s="30" t="str">
        <x:v>T04</x:v>
      </x:c>
      <x:c r="B9" s="18" t="str">
        <x:v>示范—尝试—逐步撤去支持</x:v>
      </x:c>
      <x:c r="C9" s="18" t="str">
        <x:v>学生缺少完成方法，而不只是缺练习</x:v>
      </x:c>
      <x:c r="D9" s="18" t="str">
        <x:v>写作策略教学与元认知指南；按支持需要调整</x:v>
      </x:c>
      <x:c r="E9" s="18" t="str">
        <x:v>教师展示选择与检查→部分提示尝试→个人独立→反馈再试</x:v>
      </x:c>
      <x:c r="F9" s="18" t="str">
        <x:v>写作、阅读推理、概括、文言理解</x:v>
      </x:c>
      <x:c r="G9" s="18" t="str">
        <x:v>减少提示后仍能完成，并能解释为什么这样做</x:v>
      </x:c>
      <x:c r="H9" s="18" t="str">
        <x:v>一直套句式会形成依赖；已掌握者不再接受过多支架</x:v>
      </x:c>
      <x:c r="I9" s="18" t="str">
        <x:v>S07;S08</x:v>
      </x:c>
      <x:c r="J9" s="18" t="str">
        <x:v>https://ies.ed.gov/ncee/wwc/PracticeGuide/22</x:v>
      </x:c>
    </x:row>
    <x:row r="10" ht="50" customHeight="1">
      <x:c r="A10" s="30" t="str">
        <x:v>T05</x:v>
      </x:c>
      <x:c r="B10" s="18" t="str">
        <x:v>主动提取与间隔复现</x:v>
      </x:c>
      <x:c r="C10" s="18" t="str">
        <x:v>重要知识需保持、可独立调用</x:v>
      </x:c>
      <x:c r="D10" s="18" t="str">
        <x:v>学习指南；不同推荐证据强度有差异</x:v>
      </x:c>
      <x:c r="E10" s="18" t="str">
        <x:v>合书回忆/解释→核对修正→在后续正常内容中再次使用</x:v>
      </x:c>
      <x:c r="F10" s="18" t="str">
        <x:v>字词、古诗文、必要名著信息、已学方法</x:v>
      </x:c>
      <x:c r="G10" s="18" t="str">
        <x:v>延时仍可准确调用；区分熟悉感与无提示产出</x:v>
      </x:c>
      <x:c r="H10" s="18" t="str">
        <x:v>不是反复正式考试，不用统一遗忘百分比，不以背诵代替理解</x:v>
      </x:c>
      <x:c r="I10" s="18" t="str">
        <x:v>S06</x:v>
      </x:c>
      <x:c r="J10" s="18" t="str">
        <x:v>https://ies.ed.gov/ncee/wwc/PracticeGuide/1</x:v>
      </x:c>
    </x:row>
    <x:row r="11" ht="50" customHeight="1">
      <x:c r="A11" s="30" t="str">
        <x:v>T06</x:v>
      </x:c>
      <x:c r="B11" s="18" t="str">
        <x:v>解释性提问与例子比较</x:v>
      </x:c>
      <x:c r="C11" s="18" t="str">
        <x:v>学生能给结论但说不清依据或适用条件</x:v>
      </x:c>
      <x:c r="D11" s="18" t="str">
        <x:v>解释性提问与知识组织；比较任务为本项目具体设计</x:v>
      </x:c>
      <x:c r="E11" s="18" t="str">
        <x:v>为何→依据哪里→解释联系→另例是否适用→检验反例</x:v>
      </x:c>
      <x:c r="F11" s="18" t="str">
        <x:v>人物/语言解释、信息论证、阅读概括</x:v>
      </x:c>
      <x:c r="G11" s="18" t="str">
        <x:v>能迁移到适当的新例并说明限制</x:v>
      </x:c>
      <x:c r="H11" s="18" t="str">
        <x:v>前提词句未懂时先补前提；问题不能只堆难度</x:v>
      </x:c>
      <x:c r="I11" s="18" t="str">
        <x:v>S04;S06</x:v>
      </x:c>
      <x:c r="J11" s="18" t="str">
        <x:v>https://www.nationalacademies.org/read/24783/chapter/7</x:v>
      </x:c>
    </x:row>
    <x:row r="12" ht="50" customHeight="1">
      <x:c r="A12" s="30" t="str">
        <x:v>T07</x:v>
      </x:c>
      <x:c r="B12" s="18" t="str">
        <x:v>读写结合与写作修改</x:v>
      </x:c>
      <x:c r="C12" s="18" t="str">
        <x:v>读懂表达但不会使用，或批改后不改进</x:v>
      </x:c>
      <x:c r="D12" s="18" t="str">
        <x:v>IES中学写作指南：示范策略、读写结合；不能抹平证据等级</x:v>
      </x:c>
      <x:c r="E12" s="18" t="str">
        <x:v>观察表达作用→尝试自己的表达→依据目标反馈→修订→完整作品使用</x:v>
      </x:c>
      <x:c r="F12" s="18" t="str">
        <x:v>叙事、描写、说明、议论、实用表达</x:v>
      </x:c>
      <x:c r="G12" s="18" t="str">
        <x:v>作品修改有可见提升；新写作任务能独立使用</x:v>
      </x:c>
      <x:c r="H12" s="18" t="str">
        <x:v>片段不能长期替代整篇写作；仿写不等于自主表达</x:v>
      </x:c>
      <x:c r="I12" s="18" t="str">
        <x:v>S07;S09</x:v>
      </x:c>
      <x:c r="J12" s="18" t="str">
        <x:v>https://ies.ed.gov/ncee/wwc/PracticeGuide/22</x:v>
      </x:c>
    </x:row>
    <x:row r="13" ht="57" customHeight="1">
      <x:c r="A13" s="30" t="str">
        <x:v>T08</x:v>
      </x:c>
      <x:c r="B13" s="18" t="str">
        <x:v>形成性评价与可用反馈</x:v>
      </x:c>
      <x:c r="C13" s="18" t="str">
        <x:v>需要知道下一步该教什么，而不只判对错</x:v>
      </x:c>
      <x:c r="D13" s="18" t="str">
        <x:v>反馈指南与测量要求；反馈成本与使用机会重要</x:v>
      </x:c>
      <x:c r="E13" s="18" t="str">
        <x:v>明确标准→获取正常任务证据→定位一个可改点→学生使用反馈→再观察</x:v>
      </x:c>
      <x:c r="F13" s="18" t="str">
        <x:v>全部课型，依任务选择表现形式</x:v>
      </x:c>
      <x:c r="G13" s="18" t="str">
        <x:v>实际修改或再次作答改善，而不只是收到批注</x:v>
      </x:c>
      <x:c r="H13" s="18" t="str">
        <x:v>先查题目与评分；反馈不越多越好，不要求统一时机</x:v>
      </x:c>
      <x:c r="I13" s="18" t="str">
        <x:v>S09;S11</x:v>
      </x:c>
      <x:c r="J13" s="18" t="str">
        <x:v>https://educationendowmentfoundation.org.uk/education-evidence/guidance-reports/feedback</x:v>
      </x:c>
    </x:row>
    <x:row r="14" ht="57" customHeight="1">
      <x:c r="A14" s="30" t="str">
        <x:v>T09</x:v>
      </x:c>
      <x:c r="B14" s="18" t="str">
        <x:v>元认知与独立学习</x:v>
      </x:c>
      <x:c r="C14" s="18" t="str">
        <x:v>学生不知道何时检查、哪里没懂或怎样调整</x:v>
      </x:c>
      <x:c r="D14" s="18" t="str">
        <x:v>学科内计划—监控—评价；不能脱离内容只教口号</x:v>
      </x:c>
      <x:c r="E14" s="18" t="str">
        <x:v>在真实任务中示范自问→学生尝试→减少提示→解释选择</x:v>
      </x:c>
      <x:c r="F14" s="18" t="str">
        <x:v>阅读、写作、复习、应考检查</x:v>
      </x:c>
      <x:c r="G14" s="18" t="str">
        <x:v>能识别问题并采用合适动作，而不是背出学习流程</x:v>
      </x:c>
      <x:c r="H14" s="18" t="str">
        <x:v>不按视觉/听觉型贴固定标签；不把所有学习变成填反思表</x:v>
      </x:c>
      <x:c r="I14" s="18" t="str">
        <x:v>S08</x:v>
      </x:c>
      <x:c r="J14" s="18" t="str">
        <x:v>https://educationendowmentfoundation.org.uk/education-evidence/guidance-reports/metacognition</x:v>
      </x:c>
    </x:row>
    <x:row r="15" ht="50" customHeight="1">
      <x:c r="A15" s="30" t="str">
        <x:v>T10</x:v>
      </x:c>
      <x:c r="B15" s="18" t="str">
        <x:v>任务价值、适度挑战与有限选择</x:v>
      </x:c>
      <x:c r="C15" s="18" t="str">
        <x:v>学生缺少进入学习的理由或成功体验</x:v>
      </x:c>
      <x:c r="D15" s="18" t="str">
        <x:v>动机研究综合；兴趣、参与和学习效果分别判断</x:v>
      </x:c>
      <x:c r="E15" s="18" t="str">
        <x:v>有意义问题/真实读者→可完成的挑战→有限选择→展示修订进步</x:v>
      </x:c>
      <x:c r="F15" s="18" t="str">
        <x:v>文学讨论、写作、整本书和口语表达</x:v>
      </x:c>
      <x:c r="G15" s="18" t="str">
        <x:v>愿意尝试与持续投入，且作品/理解确有改进</x:v>
      </x:c>
      <x:c r="H15" s="18" t="str">
        <x:v>热闹不证明学会；不得强迫暴露家庭隐私以换真实感</x:v>
      </x:c>
      <x:c r="I15" s="18" t="str">
        <x:v>S05</x:v>
      </x:c>
      <x:c r="J15" s="18" t="str">
        <x:v>https://www.nationalacademies.org/read/24783/chapter/8</x:v>
      </x:c>
    </x:row>
    <x:row r="16" ht="50" customHeight="1">
      <x:c r="A16" s="30" t="str">
        <x:v>T11</x:v>
      </x:c>
      <x:c r="B16" s="18" t="str">
        <x:v>认知负担控制与内容取舍</x:v>
      </x:c>
      <x:c r="C16" s="18" t="str">
        <x:v>陌生内容、任务或联结太多</x:v>
      </x:c>
      <x:c r="D16" s="18" t="str">
        <x:v>已有知识和信息处理限制的一般依据；具体预算需实际校准</x:v>
      </x:c>
      <x:c r="E16" s="18" t="str">
        <x:v>确定核心问题→分步提供必要信息→把教师背景与学生材料分开→减少冗余</x:v>
      </x:c>
      <x:c r="F16" s="18" t="str">
        <x:v>所有课型，尤其跨篇与背景较多的课</x:v>
      </x:c>
      <x:c r="G16" s="18" t="str">
        <x:v>学生能完成核心任务，时间可行，关键材料不被挤掉</x:v>
      </x:c>
      <x:c r="H16" s="18" t="str">
        <x:v>不是越简单越好；不能删掉必要知识后宣称高效</x:v>
      </x:c>
      <x:c r="I16" s="18" t="str">
        <x:v>S04</x:v>
      </x:c>
      <x:c r="J16" s="18" t="str">
        <x:v>https://www.nationalacademies.org/read/24783/chapter/7</x:v>
      </x:c>
    </x:row>
    <x:row r="17" ht="57" customHeight="1">
      <x:c r="A17" s="30" t="str">
        <x:v>T12</x:v>
      </x:c>
      <x:c r="B17" s="18" t="str">
        <x:v>学科化迁移</x:v>
      </x:c>
      <x:c r="C17" s="18" t="str">
        <x:v>语文方法可能服务其他学科的具体任务</x:v>
      </x:c>
      <x:c r="D17" s="18" t="str">
        <x:v>中学学科读写指南；通用与特定规则并存</x:v>
      </x:c>
      <x:c r="E17" s="18" t="str">
        <x:v>说明共同方法→另一学科示范不同规则→用原有任务观察</x:v>
      </x:c>
      <x:c r="F17" s="18" t="str">
        <x:v>条件阅读、材料整合、说明和论证</x:v>
      </x:c>
      <x:c r="G17" s="18" t="str">
        <x:v>另一学科具体读题/表达问题减少；不直接推断总分因果</x:v>
      </x:c>
      <x:c r="H17" s="18" t="str">
        <x:v>不强行跨科、不增加额外任务、不让语文包办全部学科读写</x:v>
      </x:c>
      <x:c r="I17" s="18" t="str">
        <x:v>S10</x:v>
      </x:c>
      <x:c r="J17" s="18" t="str">
        <x:v>https://educationendowmentfoundation.org.uk/education-evidence/guidance-reports/literacy-ks3-ks4</x:v>
      </x:c>
    </x:row>
  </x:sheetData>
  <x:mergeCells>
    <x:mergeCell ref="A1:J1"/>
    <x:mergeCell ref="A2:J3"/>
  </x:mergeCells>
  <x:pageMargins left="0.7" right="0.7" top="0.75" bottom="0.75" header="0.3" footer="0.3"/>
  <x:tableParts count="1">
    <x:tablePart xmlns:r="http://schemas.openxmlformats.org/officeDocument/2006/relationships" r:id="Rd52b8817b4f24253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26" hidden="0" customWidth="1"/>
    <x:col min="3" max="3" width="39" hidden="0" customWidth="1"/>
    <x:col min="4" max="4" width="40" hidden="0" customWidth="1"/>
    <x:col min="5" max="5" width="26" hidden="0" customWidth="1"/>
    <x:col min="6" max="6" width="40" hidden="0" customWidth="1"/>
  </x:cols>
  <x:sheetData>
    <x:row r="1" ht="38" customHeight="1">
      <x:c r="A1" s="4" t="str">
        <x:v>把内容联结变成可检验的教学设计</x:v>
      </x:c>
      <x:c r="B1" s="4"/>
      <x:c r="C1" s="4"/>
      <x:c r="D1" s="4"/>
      <x:c r="E1" s="4"/>
      <x:c r="F1" s="4"/>
    </x:row>
    <x:row r="2">
      <x:c r="A2" s="11" t="str">
        <x:v>三条线分开：作者经历与作品时间、文本内部推进、学生学习轨迹。《梦游》仅为方法例示。</x:v>
      </x:c>
      <x:c r="B2" s="11"/>
      <x:c r="C2" s="11"/>
      <x:c r="D2" s="11"/>
      <x:c r="E2" s="11"/>
      <x:c r="F2" s="11"/>
    </x:row>
    <x:row r="3">
      <x:c r="A3" s="11"/>
      <x:c r="B3" s="11"/>
      <x:c r="C3" s="11"/>
      <x:c r="D3" s="11"/>
      <x:c r="E3" s="11"/>
      <x:c r="F3" s="11"/>
    </x:row>
    <x:row r="4" ht="10" customHeight="1"/>
    <x:row r="5" ht="33" customHeight="1">
      <x:c r="A5" s="25" t="str">
        <x:v>字段ID</x:v>
      </x:c>
      <x:c r="B5" s="25" t="str">
        <x:v>字段</x:v>
      </x:c>
      <x:c r="C5" s="25" t="str">
        <x:v>必须记录什么</x:v>
      </x:c>
      <x:c r="D5" s="25" t="str">
        <x:v>《梦游天姥吟留别》方法例示</x:v>
      </x:c>
      <x:c r="E5" s="25" t="str">
        <x:v>模块配合</x:v>
      </x:c>
      <x:c r="F5" s="25" t="str">
        <x:v>检查/删除条件</x:v>
      </x:c>
    </x:row>
    <x:row r="6" ht="50" customHeight="1">
      <x:c r="A6" s="30" t="str">
        <x:v>L01</x:v>
      </x:c>
      <x:c r="B6" s="18" t="str">
        <x:v>联结卡身份</x:v>
      </x:c>
      <x:c r="C6" s="18" t="str">
        <x:v>本课/单元、适用班级、核心疑问</x:v>
      </x:c>
      <x:c r="D6" s="18" t="str">
        <x:v>方法例示：《梦游天姥吟留别》；不默认初一必学</x:v>
      </x:c>
      <x:c r="E6" s="18" t="str">
        <x:v>O01/O02→M05</x:v>
      </x:c>
      <x:c r="F6" s="18" t="str">
        <x:v>没有明确疑问，不为展示知识而串联</x:v>
      </x:c>
    </x:row>
    <x:row r="7" ht="50" customHeight="1">
      <x:c r="A7" s="30" t="str">
        <x:v>L02</x:v>
      </x:c>
      <x:c r="B7" s="18" t="str">
        <x:v>学生学习线</x:v>
      </x:c>
      <x:c r="C7" s="18" t="str">
        <x:v>已学／当前／后续已确认／候选拓展／未知</x:v>
      </x:c>
      <x:c r="D7" s="18" t="str">
        <x:v>《行路难》等均先查真实教材和已学记录；未知就不称复习</x:v>
      </x:c>
      <x:c r="E7" s="18" t="str">
        <x:v>I06/O04→M05</x:v>
      </x:c>
      <x:c r="F7" s="18" t="str">
        <x:v>不得把未来篇目提前变成背诵任务</x:v>
      </x:c>
    </x:row>
    <x:row r="8" ht="50" customHeight="1">
      <x:c r="A8" s="30" t="str">
        <x:v>L03</x:v>
      </x:c>
      <x:c r="B8" s="18" t="str">
        <x:v>作者与作品时间线</x:v>
      </x:c>
      <x:c r="C8" s="18" t="str">
        <x:v>关键经历、作品先后、年代确定性、来源</x:v>
      </x:c>
      <x:c r="D8" s="18" t="str">
        <x:v>人生尺度可以作为教师背景；具体年代与创作关联逐条核实</x:v>
      </x:c>
      <x:c r="E8" s="18" t="str">
        <x:v>O03→M05</x:v>
      </x:c>
      <x:c r="F8" s="18" t="str">
        <x:v>争议年代给范围或不采用，不能虚构心理动机</x:v>
      </x:c>
    </x:row>
    <x:row r="9" ht="50" customHeight="1">
      <x:c r="A9" s="30" t="str">
        <x:v>L04</x:v>
      </x:c>
      <x:c r="B9" s="18" t="str">
        <x:v>文本内部线</x:v>
      </x:c>
      <x:c r="C9" s="18" t="str">
        <x:v>段落、事件、情绪、视角或论证的实际推进</x:v>
      </x:c>
      <x:c r="D9" s="18" t="str">
        <x:v>依据原文梳理入梦、梦境变化、梦醒与结尾；结构划分属可讨论解释</x:v>
      </x:c>
      <x:c r="E9" s="18" t="str">
        <x:v>O03→M05</x:v>
      </x:c>
      <x:c r="F9" s="18" t="str">
        <x:v>不把文本结构直接等同作者经历年表</x:v>
      </x:c>
    </x:row>
    <x:row r="10" ht="50" customHeight="1">
      <x:c r="A10" s="30" t="str">
        <x:v>L05</x:v>
      </x:c>
      <x:c r="B10" s="18" t="str">
        <x:v>联结类型</x:v>
      </x:c>
      <x:c r="C10" s="18" t="str">
        <x:v>同作者变化／同题异构／意象异用／文体／词语／读写／跨科</x:v>
      </x:c>
      <x:c r="D10" s="18" t="str">
        <x:v>候选：同作者不同作品的姿态与语言对比</x:v>
      </x:c>
      <x:c r="E10" s="18" t="str">
        <x:v>M05→M06</x:v>
      </x:c>
      <x:c r="F10" s="18" t="str">
        <x:v>只同作者或同主题，还不足以证明需要进课堂</x:v>
      </x:c>
    </x:row>
    <x:row r="11" ht="50" customHeight="1">
      <x:c r="A11" s="30" t="str">
        <x:v>L06</x:v>
      </x:c>
      <x:c r="B11" s="18" t="str">
        <x:v>联结对象与关系</x:v>
      </x:c>
      <x:c r="C11" s="18" t="str">
        <x:v>明确哪两处内容，什么相同，什么不同</x:v>
      </x:c>
      <x:c r="D11" s="18" t="str">
        <x:v>比较《梦游》结尾与另一已确认可用作品的具体语句，而非整首泛谈</x:v>
      </x:c>
      <x:c r="E11" s="18" t="str">
        <x:v>O03/O05→M06</x:v>
      </x:c>
      <x:c r="F11" s="18" t="str">
        <x:v>相关作品需实际原文，不凭背诵印象拼接</x:v>
      </x:c>
    </x:row>
    <x:row r="12" ht="50" customHeight="1">
      <x:c r="A12" s="30" t="str">
        <x:v>L07</x:v>
      </x:c>
      <x:c r="B12" s="18" t="str">
        <x:v>为何联结</x:v>
      </x:c>
      <x:c r="C12" s="18" t="str">
        <x:v>解决哪项理解/记忆/迁移困难</x:v>
      </x:c>
      <x:c r="D12" s="18" t="str">
        <x:v>帮助讨论结尾与梦境、梦醒之间的联系，检验单一情绪标签是否充分</x:v>
      </x:c>
      <x:c r="E12" s="18" t="str">
        <x:v>M05→M07</x:v>
      </x:c>
      <x:c r="F12" s="18" t="str">
        <x:v>关系必须返回本篇问题，不只是增加背景知识</x:v>
      </x:c>
    </x:row>
    <x:row r="13" ht="50" customHeight="1">
      <x:c r="A13" s="30" t="str">
        <x:v>L08</x:v>
      </x:c>
      <x:c r="B13" s="18" t="str">
        <x:v>学生实际动作</x:v>
      </x:c>
      <x:c r="C13" s="18" t="str">
        <x:v>回忆、重读、比较、解释、朗读、改写等</x:v>
      </x:c>
      <x:c r="D13" s="18" t="str">
        <x:v>先依据本诗提出解释；接触少量对照后修订；标出新增证据</x:v>
      </x:c>
      <x:c r="E13" s="18" t="str">
        <x:v>M05/M06→M08</x:v>
      </x:c>
      <x:c r="F13" s="18" t="str">
        <x:v>教师讲完故事不等于学生建立联结</x:v>
      </x:c>
    </x:row>
    <x:row r="14" ht="50" customHeight="1">
      <x:c r="A14" s="30" t="str">
        <x:v>L09</x:v>
      </x:c>
      <x:c r="B14" s="18" t="str">
        <x:v>必要的前提支持</x:v>
      </x:c>
      <x:c r="C14" s="18" t="str">
        <x:v>词句、背景、对照文本陌生点</x:v>
      </x:c>
      <x:c r="D14" s="18" t="str">
        <x:v>未学过的短引文提供必要说明，或更换为确已学作品</x:v>
      </x:c>
      <x:c r="E14" s="18" t="str">
        <x:v>O04→M06</x:v>
      </x:c>
      <x:c r="F14" s="18" t="str">
        <x:v>不得让拓展文本带来超过本课收益的前提负担</x:v>
      </x:c>
    </x:row>
    <x:row r="15" ht="50" customHeight="1">
      <x:c r="A15" s="30" t="str">
        <x:v>L10</x:v>
      </x:c>
      <x:c r="B15" s="18" t="str">
        <x:v>史实/解释边界</x:v>
      </x:c>
      <x:c r="C15" s="18" t="str">
        <x:v>事实、合理推测、教学解读分别呈现</x:v>
      </x:c>
      <x:c r="D15" s="18" t="str">
        <x:v>不把仙境每一处写成某次仕途事件的密码，不唯一化情感</x:v>
      </x:c>
      <x:c r="E15" s="18" t="str">
        <x:v>O03/M10</x:v>
      </x:c>
      <x:c r="F15" s="18" t="str">
        <x:v>背景只提供解释条件，不能替代文本证据</x:v>
      </x:c>
    </x:row>
    <x:row r="16" ht="50" customHeight="1">
      <x:c r="A16" s="30" t="str">
        <x:v>L11</x:v>
      </x:c>
      <x:c r="B16" s="18" t="str">
        <x:v>时间与替代</x:v>
      </x:c>
      <x:c r="C16" s="18" t="str">
        <x:v>预计占时、删去原来什么、必要/有益/舍弃</x:v>
      </x:c>
      <x:c r="D16" s="18" t="str">
        <x:v>设计时核算；减少百科式导入，保留学生独立阅读与修改</x:v>
      </x:c>
      <x:c r="E16" s="18" t="str">
        <x:v>M05→M08</x:v>
      </x:c>
      <x:c r="F16" s="18" t="str">
        <x:v>超时优先减少联结，不自动追加家庭作业</x:v>
      </x:c>
    </x:row>
    <x:row r="17" ht="50" customHeight="1">
      <x:c r="A17" s="30" t="str">
        <x:v>L12</x:v>
      </x:c>
      <x:c r="B17" s="18" t="str">
        <x:v>当堂证据</x:v>
      </x:c>
      <x:c r="C17" s="18" t="str">
        <x:v>不照抄教师话语的独立表现</x:v>
      </x:c>
      <x:c r="D17" s="18" t="str">
        <x:v>解释某处语言与整体理解的联系，并说明背景能支持什么、不能证明什么</x:v>
      </x:c>
      <x:c r="E17" s="18" t="str">
        <x:v>M07→M11</x:v>
      </x:c>
      <x:c r="F17" s="18" t="str">
        <x:v>能背出人生故事不等于读懂作品</x:v>
      </x:c>
    </x:row>
    <x:row r="18" ht="50" customHeight="1">
      <x:c r="A18" s="30" t="str">
        <x:v>L13</x:v>
      </x:c>
      <x:c r="B18" s="18" t="str">
        <x:v>后续复现</x:v>
      </x:c>
      <x:c r="C18" s="18" t="str">
        <x:v>在什么正常学习任务中再用、提示怎样减少</x:v>
      </x:c>
      <x:c r="D18" s="18" t="str">
        <x:v>以后遇到同作者或类似主题时回看一处关系；实际课程未定标候选</x:v>
      </x:c>
      <x:c r="E18" s="18" t="str">
        <x:v>M05→M08/M12</x:v>
      </x:c>
      <x:c r="F18" s="18" t="str">
        <x:v>不固定要求额外周考、打卡或拓展背诵</x:v>
      </x:c>
    </x:row>
    <x:row r="19" ht="50" customHeight="1">
      <x:c r="A19" s="30" t="str">
        <x:v>L14</x:v>
      </x:c>
      <x:c r="B19" s="18" t="str">
        <x:v>收益的可否定预测</x:v>
      </x:c>
      <x:c r="C19" s="18" t="str">
        <x:v>预期改善什么；什么现象意味着无效</x:v>
      </x:c>
      <x:c r="D19" s="18" t="str">
        <x:v>预期解释更具体；若只记住故事、文本依据变少，则删减背景重回细读</x:v>
      </x:c>
      <x:c r="E19" s="18" t="str">
        <x:v>M07→M12</x:v>
      </x:c>
      <x:c r="F19" s="18" t="str">
        <x:v>高效是待验证假设，不写成已证实的提分方法</x:v>
      </x:c>
    </x:row>
    <x:row r="20" ht="50" customHeight="1">
      <x:c r="A20" s="30" t="str">
        <x:v>L15</x:v>
      </x:c>
      <x:c r="B20" s="18" t="str">
        <x:v>更新与来源</x:v>
      </x:c>
      <x:c r="C20" s="18" t="str">
        <x:v>原文位置、背景来源、版本、教师/课堂状态</x:v>
      </x:c>
      <x:c r="D20" s="18" t="str">
        <x:v>原文可参考S13；生平与其他作品具体资料尚需核对</x:v>
      </x:c>
      <x:c r="E20" s="18" t="str">
        <x:v>M03/M09/M12</x:v>
      </x:c>
      <x:c r="F20" s="18" t="str">
        <x:v>采纳≠实施；实施≠有效；保留撤回理由</x:v>
      </x:c>
    </x:row>
  </x:sheetData>
  <x:mergeCells>
    <x:mergeCell ref="A1:F1"/>
    <x:mergeCell ref="A2:F3"/>
  </x:mergeCells>
  <x:pageMargins left="0.7" right="0.7" top="0.75" bottom="0.75" header="0.3" footer="0.3"/>
  <x:tableParts count="1">
    <x:tablePart xmlns:r="http://schemas.openxmlformats.org/officeDocument/2006/relationships" r:id="R8ff8af8c551546fc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28" hidden="0" customWidth="1"/>
    <x:col min="3" max="3" width="40" hidden="0" customWidth="1"/>
    <x:col min="4" max="4" width="16" hidden="0" customWidth="1"/>
    <x:col min="5" max="5" width="33" hidden="0" customWidth="1"/>
    <x:col min="6" max="6" width="38" hidden="0" customWidth="1"/>
    <x:col min="7" max="7" width="40" hidden="0" customWidth="1"/>
  </x:cols>
  <x:sheetData>
    <x:row r="1" ht="38" customHeight="1">
      <x:c r="A1" s="4" t="str">
        <x:v>每个交付物都要有人使用</x:v>
      </x:c>
      <x:c r="B1" s="4"/>
      <x:c r="C1" s="4"/>
      <x:c r="D1" s="4"/>
      <x:c r="E1" s="4"/>
      <x:c r="F1" s="4"/>
      <x:c r="G1" s="4"/>
    </x:row>
    <x:row r="2">
      <x:c r="A2" s="11" t="str">
        <x:v>教师默认只看课堂要点与关键材料；来源、详细分析与历史版本按需展开。</x:v>
      </x:c>
      <x:c r="B2" s="11"/>
      <x:c r="C2" s="11"/>
      <x:c r="D2" s="11"/>
      <x:c r="E2" s="11"/>
      <x:c r="F2" s="11"/>
      <x:c r="G2" s="11"/>
    </x:row>
    <x:row r="3">
      <x:c r="A3" s="11"/>
      <x:c r="B3" s="11"/>
      <x:c r="C3" s="11"/>
      <x:c r="D3" s="11"/>
      <x:c r="E3" s="11"/>
      <x:c r="F3" s="11"/>
      <x:c r="G3" s="11"/>
    </x:row>
    <x:row r="4" ht="10" customHeight="1"/>
    <x:row r="5" ht="33" customHeight="1">
      <x:c r="A5" s="25" t="str">
        <x:v>输出ID</x:v>
      </x:c>
      <x:c r="B5" s="25" t="str">
        <x:v>交付物</x:v>
      </x:c>
      <x:c r="C5" s="25" t="str">
        <x:v>最低内容</x:v>
      </x:c>
      <x:c r="D5" s="25" t="str">
        <x:v>负责模块</x:v>
      </x:c>
      <x:c r="E5" s="25" t="str">
        <x:v>下游使用者</x:v>
      </x:c>
      <x:c r="F5" s="25" t="str">
        <x:v>教师交互</x:v>
      </x:c>
      <x:c r="G5" s="25" t="str">
        <x:v>完成条件</x:v>
      </x:c>
    </x:row>
    <x:row r="6" ht="50" customHeight="1">
      <x:c r="A6" s="30" t="str">
        <x:v>O01</x:v>
      </x:c>
      <x:c r="B6" s="18" t="str">
        <x:v>任务卡</x:v>
      </x:c>
      <x:c r="C6" s="18" t="str">
        <x:v>本次内容、学生对象、条件、边界、关键未知</x:v>
      </x:c>
      <x:c r="D6" s="18" t="str">
        <x:v>M01</x:v>
      </x:c>
      <x:c r="E6" s="18" t="str">
        <x:v>M02/M03/M04</x:v>
      </x:c>
      <x:c r="F6" s="18" t="str">
        <x:v>只确认影响方案的不确定项</x:v>
      </x:c>
      <x:c r="G6" s="18" t="str">
        <x:v>未确认课时不可暗中采用固定45分钟</x:v>
      </x:c>
    </x:row>
    <x:row r="7" ht="50" customHeight="1">
      <x:c r="A7" s="30" t="str">
        <x:v>O02</x:v>
      </x:c>
      <x:c r="B7" s="18" t="str">
        <x:v>课程与进阶蓝图</x:v>
      </x:c>
      <x:c r="C7" s="18" t="str">
        <x:v>目标、内容、任务群、前后联系、课程/考试双对齐</x:v>
      </x:c>
      <x:c r="D7" s="18" t="str">
        <x:v>M02</x:v>
      </x:c>
      <x:c r="E7" s="18" t="str">
        <x:v>M03/M05/M06/M07/M08</x:v>
      </x:c>
      <x:c r="F7" s="18" t="str">
        <x:v>单元关键取舍一次确认</x:v>
      </x:c>
      <x:c r="G7" s="18" t="str">
        <x:v>保留逐条来源，未核部分不冒充正式课程要求</x:v>
      </x:c>
    </x:row>
    <x:row r="8" ht="50" customHeight="1">
      <x:c r="A8" s="30" t="str">
        <x:v>O03</x:v>
      </x:c>
      <x:c r="B8" s="18" t="str">
        <x:v>文本与资源依据包</x:v>
      </x:c>
      <x:c r="C8" s="18" t="str">
        <x:v>原文、注释、文体解读、必要背景、争议和来源</x:v>
      </x:c>
      <x:c r="D8" s="18" t="str">
        <x:v>M03</x:v>
      </x:c>
      <x:c r="E8" s="18" t="str">
        <x:v>M05/M06/M07/M10</x:v>
      </x:c>
      <x:c r="F8" s="18" t="str">
        <x:v>看关键文本和陌生素材</x:v>
      </x:c>
      <x:c r="G8" s="18" t="str">
        <x:v>实际展示资料与引用可核对，自拟明显标注</x:v>
      </x:c>
    </x:row>
    <x:row r="9" ht="50" customHeight="1">
      <x:c r="A9" s="30" t="str">
        <x:v>O04</x:v>
      </x:c>
      <x:c r="B9" s="18" t="str">
        <x:v>学情证据简报</x:v>
      </x:c>
      <x:c r="C9" s="18" t="str">
        <x:v>事实、提示程度、新旧材料、间隔、覆盖、候选瓶颈</x:v>
      </x:c>
      <x:c r="D9" s="18" t="str">
        <x:v>M04</x:v>
      </x:c>
      <x:c r="E9" s="18" t="str">
        <x:v>M05/M06/M07/M08</x:v>
      </x:c>
      <x:c r="F9" s="18" t="str">
        <x:v>只问一个决定性未知</x:v>
      </x:c>
      <x:c r="G9" s="18" t="str">
        <x:v>没有材料时交付基础版，不制造百分比画像</x:v>
      </x:c>
    </x:row>
    <x:row r="10" ht="50" customHeight="1">
      <x:c r="A10" s="30" t="str">
        <x:v>O05</x:v>
      </x:c>
      <x:c r="B10" s="18" t="str">
        <x:v>学习联结卡</x:v>
      </x:c>
      <x:c r="C10" s="18" t="str">
        <x:v>三条时间线、关系、用途、学生动作、成本、返回本篇、复现</x:v>
      </x:c>
      <x:c r="D10" s="18" t="str">
        <x:v>M05</x:v>
      </x:c>
      <x:c r="E10" s="18" t="str">
        <x:v>M06/M07/M08</x:v>
      </x:c>
      <x:c r="F10" s="18" t="str">
        <x:v>原则上采用推荐，不逐篇挑资源</x:v>
      </x:c>
      <x:c r="G10" s="18" t="str">
        <x:v>每条联系可解释必要性，也可被删掉</x:v>
      </x:c>
    </x:row>
    <x:row r="11" ht="50" customHeight="1">
      <x:c r="A11" s="30" t="str">
        <x:v>O06</x:v>
      </x:c>
      <x:c r="B11" s="18" t="str">
        <x:v>方法与活动方案</x:v>
      </x:c>
      <x:c r="C11" s="18" t="str">
        <x:v>适用理由、具体步骤、支持与撤去、常见误解、方法边界</x:v>
      </x:c>
      <x:c r="D11" s="18" t="str">
        <x:v>M06</x:v>
      </x:c>
      <x:c r="E11" s="18" t="str">
        <x:v>与M07互校，再交M08</x:v>
      </x:c>
      <x:c r="F11" s="18" t="str">
        <x:v>看具体行动，不选理论术语</x:v>
      </x:c>
      <x:c r="G11" s="18" t="str">
        <x:v>方法服务内容；目标不同允许流程不同</x:v>
      </x:c>
    </x:row>
    <x:row r="12" ht="50" customHeight="1">
      <x:c r="A12" s="30" t="str">
        <x:v>O07</x:v>
      </x:c>
      <x:c r="B12" s="18" t="str">
        <x:v>任务·标准·应考对照</x:v>
      </x:c>
      <x:c r="C12" s="18" t="str">
        <x:v>任务、合理答案范围、样例、独立证据、应考要求与复现</x:v>
      </x:c>
      <x:c r="D12" s="18" t="str">
        <x:v>M07</x:v>
      </x:c>
      <x:c r="E12" s="18" t="str">
        <x:v>M08/M09/M11/M12</x:v>
      </x:c>
      <x:c r="F12" s="18" t="str">
        <x:v>审关键开放题</x:v>
      </x:c>
      <x:c r="G12" s="18" t="str">
        <x:v>文学阅读与写作不按唯一关键词机械评分</x:v>
      </x:c>
    </x:row>
    <x:row r="13" ht="50" customHeight="1">
      <x:c r="A13" s="30" t="str">
        <x:v>O08</x:v>
      </x:c>
      <x:c r="B13" s="18" t="str">
        <x:v>可执行课堂方案</x:v>
      </x:c>
      <x:c r="C13" s="18" t="str">
        <x:v>时序、学生读想写改时间、分层支持、删减顺序、课外必要性</x:v>
      </x:c>
      <x:c r="D13" s="18" t="str">
        <x:v>M08</x:v>
      </x:c>
      <x:c r="E13" s="18" t="str">
        <x:v>M09/M10</x:v>
      </x:c>
      <x:c r="F13" s="18" t="str">
        <x:v>采用/调整时间或支持</x:v>
      </x:c>
      <x:c r="G13" s="18" t="str">
        <x:v>每项时间为估计或实测明确；不藏课外负担</x:v>
      </x:c>
    </x:row>
    <x:row r="14" ht="50" customHeight="1">
      <x:c r="A14" s="30" t="str">
        <x:v>O09</x:v>
      </x:c>
      <x:c r="B14" s="18" t="str">
        <x:v>一致备课成果包</x:v>
      </x:c>
      <x:c r="C14" s="18" t="str">
        <x:v>简报、教案、必要课件/板书、任务、答案、预案、学校格式</x:v>
      </x:c>
      <x:c r="D14" s="18" t="str">
        <x:v>M09</x:v>
      </x:c>
      <x:c r="E14" s="18" t="str">
        <x:v>教师/课堂/M11</x:v>
      </x:c>
      <x:c r="F14" s="18" t="str">
        <x:v>通常一次确认，一次修改联动全部</x:v>
      </x:c>
      <x:c r="G14" s="18" t="str">
        <x:v>无需老师拼接和再次誊写；关键新内容必须能看见</x:v>
      </x:c>
    </x:row>
    <x:row r="15" ht="50" customHeight="1">
      <x:c r="A15" s="30" t="str">
        <x:v>O10</x:v>
      </x:c>
      <x:c r="B15" s="18" t="str">
        <x:v>质量审查单</x:v>
      </x:c>
      <x:c r="C15" s="18" t="str">
        <x:v>底线结论、问题位置、定点修正、尚未知部分</x:v>
      </x:c>
      <x:c r="D15" s="18" t="str">
        <x:v>M10</x:v>
      </x:c>
      <x:c r="E15" s="18" t="str">
        <x:v>M02—M09</x:v>
      </x:c>
      <x:c r="F15" s="18" t="str">
        <x:v>只呈现影响课堂的关键例外</x:v>
      </x:c>
      <x:c r="G15" s="18" t="str">
        <x:v>可以试用不代表有效；不掩盖实质错误</x:v>
      </x:c>
    </x:row>
    <x:row r="16" ht="50" customHeight="1">
      <x:c r="A16" s="30" t="str">
        <x:v>O11</x:v>
      </x:c>
      <x:c r="B16" s="18" t="str">
        <x:v>学习证据与偏差简报</x:v>
      </x:c>
      <x:c r="C16" s="18" t="str">
        <x:v>实际实施、作品范围、测量检查、候选原因、未知</x:v>
      </x:c>
      <x:c r="D16" s="18" t="str">
        <x:v>M11</x:v>
      </x:c>
      <x:c r="E16" s="18" t="str">
        <x:v>M12</x:v>
      </x:c>
      <x:c r="F16" s="18" t="str">
        <x:v>可选一道反馈</x:v>
      </x:c>
      <x:c r="G16" s="18" t="str">
        <x:v>不依据缺失反馈或少量样本推全班</x:v>
      </x:c>
    </x:row>
    <x:row r="17" ht="50" customHeight="1">
      <x:c r="A17" s="30" t="str">
        <x:v>O12</x:v>
      </x:c>
      <x:c r="B17" s="18" t="str">
        <x:v>纠正与验证卡</x:v>
      </x:c>
      <x:c r="C17" s="18" t="str">
        <x:v>假设、最小替换、成本、预测、否定条件、正常任务复核、版本</x:v>
      </x:c>
      <x:c r="D17" s="18" t="str">
        <x:v>M12</x:v>
      </x:c>
      <x:c r="E17" s="18" t="str">
        <x:v>相关前序模块/I06/I09</x:v>
      </x:c>
      <x:c r="F17" s="18" t="str">
        <x:v>关键变动才再确认</x:v>
      </x:c>
      <x:c r="G17" s="18" t="str">
        <x:v>使用、效果、复用范围分开；可以保留/修改/撤回</x:v>
      </x:c>
    </x:row>
  </x:sheetData>
  <x:mergeCells>
    <x:mergeCell ref="A1:G1"/>
    <x:mergeCell ref="A2:G3"/>
  </x:mergeCells>
  <x:pageMargins left="0.7" right="0.7" top="0.75" bottom="0.75" header="0.3" footer="0.3"/>
  <x:tableParts count="1">
    <x:tablePart xmlns:r="http://schemas.openxmlformats.org/officeDocument/2006/relationships" r:id="R95b0db8ff6404847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26" hidden="0" customWidth="1"/>
    <x:col min="3" max="3" width="36" hidden="0" customWidth="1"/>
    <x:col min="4" max="4" width="39" hidden="0" customWidth="1"/>
    <x:col min="5" max="5" width="40" hidden="0" customWidth="1"/>
    <x:col min="6" max="6" width="25" hidden="0" customWidth="1"/>
    <x:col min="7" max="7" width="39" hidden="0" customWidth="1"/>
    <x:col min="8" max="8" width="39" hidden="0" customWidth="1"/>
    <x:col min="9" max="9" width="22" hidden="0" customWidth="1"/>
    <x:col min="10" max="10" width="40" hidden="0" customWidth="1"/>
  </x:cols>
  <x:sheetData>
    <x:row r="1" ht="38" customHeight="1">
      <x:c r="A1" s="4" t="str">
        <x:v>先查证据与尺子，再纠正教学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>
      <x:c r="A2" s="11" t="str">
        <x:v>纠正闭环：信号→证据核实→原因假设→最小替换→正常任务验证→保留/修改/撤回。</x:v>
      </x:c>
      <x:c r="B2" s="11"/>
      <x:c r="C2" s="11"/>
      <x:c r="D2" s="11"/>
      <x:c r="E2" s="11"/>
      <x:c r="F2" s="11"/>
      <x:c r="G2" s="11"/>
      <x:c r="H2" s="11"/>
      <x:c r="I2" s="11"/>
      <x:c r="J2" s="11"/>
    </x:row>
    <x:row r="3">
      <x:c r="A3" s="11"/>
      <x:c r="B3" s="11"/>
      <x:c r="C3" s="11"/>
      <x:c r="D3" s="11"/>
      <x:c r="E3" s="11"/>
      <x:c r="F3" s="11"/>
      <x:c r="G3" s="11"/>
      <x:c r="H3" s="11"/>
      <x:c r="I3" s="11"/>
      <x:c r="J3" s="11"/>
    </x:row>
    <x:row r="4" ht="10" customHeight="1"/>
    <x:row r="5" ht="33" customHeight="1">
      <x:c r="A5" s="25" t="str">
        <x:v>规则ID</x:v>
      </x:c>
      <x:c r="B5" s="25" t="str">
        <x:v>偏差信号</x:v>
      </x:c>
      <x:c r="C5" s="25" t="str">
        <x:v>表现</x:v>
      </x:c>
      <x:c r="D5" s="25" t="str">
        <x:v>先核实什么</x:v>
      </x:c>
      <x:c r="E5" s="25" t="str">
        <x:v>最小纠正动作</x:v>
      </x:c>
      <x:c r="F5" s="25" t="str">
        <x:v>返回模块</x:v>
      </x:c>
      <x:c r="G5" s="25" t="str">
        <x:v>怎样再观察</x:v>
      </x:c>
      <x:c r="H5" s="25" t="str">
        <x:v>判断边界</x:v>
      </x:c>
      <x:c r="I5" s="25" t="str">
        <x:v>依据ID</x:v>
      </x:c>
      <x:c r="J5" s="25" t="str">
        <x:v>主要来源URL</x:v>
      </x:c>
    </x:row>
    <x:row r="6" ht="50" customHeight="1">
      <x:c r="A6" s="30" t="str">
        <x:v>Q01</x:v>
      </x:c>
      <x:c r="B6" s="18" t="str">
        <x:v>内容/来源关键错误</x:v>
      </x:c>
      <x:c r="C6" s="18" t="str">
        <x:v>引文、教材版本、史实或答案有实质错误</x:v>
      </x:c>
      <x:c r="D6" s="18" t="str">
        <x:v>核对原始位置与版本；区分异文和错误</x:v>
      </x:c>
      <x:c r="E6" s="18" t="str">
        <x:v>暂停受影响材料；修正或替换，不靠其他优点补偿</x:v>
      </x:c>
      <x:c r="F6" s="18" t="str">
        <x:v>M03；课程版本回M02</x:v>
      </x:c>
      <x:c r="G6" s="18" t="str">
        <x:v>重新核原文及所有受影响成果</x:v>
      </x:c>
      <x:c r="H6" s="18" t="str">
        <x:v>材料核对通过，仅代表该检查项通过</x:v>
      </x:c>
      <x:c r="I6" s="18" t="str">
        <x:v>S01;S11</x:v>
      </x:c>
      <x:c r="J6" s="18" t="str">
        <x:v>https://www.moe.gov.cn/srcsite/A26/s8001/202204/t20220420_619921.html</x:v>
      </x:c>
    </x:row>
    <x:row r="7" ht="50" customHeight="1">
      <x:c r="A7" s="30" t="str">
        <x:v>Q02</x:v>
      </x:c>
      <x:c r="B7" s="18" t="str">
        <x:v>背景或联结牵强</x:v>
      </x:c>
      <x:c r="C7" s="18" t="str">
        <x:v>故事讲得多，学生解释却缺少文本依据</x:v>
      </x:c>
      <x:c r="D7" s="18" t="str">
        <x:v>查看联结用途、来源、已学状态和学生实际动作</x:v>
      </x:c>
      <x:c r="E7" s="18" t="str">
        <x:v>减少背景/对照作品，重回词句；保留最必要关系</x:v>
      </x:c>
      <x:c r="F7" s="18" t="str">
        <x:v>M05→M03/M06</x:v>
      </x:c>
      <x:c r="G7" s="18" t="str">
        <x:v>在正常任务中独立解释本篇，并说明联结边界</x:v>
      </x:c>
      <x:c r="H7" s="18" t="str">
        <x:v>初步支持/尚无足够证据，不称通用高效</x:v>
      </x:c>
      <x:c r="I7" s="18" t="str">
        <x:v>S04;S12</x:v>
      </x:c>
      <x:c r="J7" s="18" t="str">
        <x:v>https://www.nationalacademies.org/read/24783/chapter/7</x:v>
      </x:c>
    </x:row>
    <x:row r="8" ht="50" customHeight="1">
      <x:c r="A8" s="30" t="str">
        <x:v>Q03</x:v>
      </x:c>
      <x:c r="B8" s="18" t="str">
        <x:v>目标与任务不匹配</x:v>
      </x:c>
      <x:c r="C8" s="18" t="str">
        <x:v>目标为独立写/解释，课堂仅观看/齐答</x:v>
      </x:c>
      <x:c r="D8" s="18" t="str">
        <x:v>查看真实学生产出和独立机会</x:v>
      </x:c>
      <x:c r="E8" s="18" t="str">
        <x:v>换成对应任务，调整示范与个人尝试</x:v>
      </x:c>
      <x:c r="F8" s="18" t="str">
        <x:v>M07↔M06</x:v>
      </x:c>
      <x:c r="G8" s="18" t="str">
        <x:v>有无提示下的表现分别观察</x:v>
      </x:c>
      <x:c r="H8" s="18" t="str">
        <x:v>设计通过≠实施有效</x:v>
      </x:c>
      <x:c r="I8" s="18" t="str">
        <x:v>S07;S11</x:v>
      </x:c>
      <x:c r="J8" s="18" t="str">
        <x:v>https://ies.ed.gov/ncee/wwc/PracticeGuide/22</x:v>
      </x:c>
    </x:row>
    <x:row r="9" ht="57" customHeight="1">
      <x:c r="A9" s="30" t="str">
        <x:v>Q04</x:v>
      </x:c>
      <x:c r="B9" s="18" t="str">
        <x:v>跟着会、独立不会</x:v>
      </x:c>
      <x:c r="C9" s="18" t="str">
        <x:v>提示一撤答案无法形成</x:v>
      </x:c>
      <x:c r="D9" s="18" t="str">
        <x:v>确认实际有独立时间；判断前提知识还是方法不足</x:v>
      </x:c>
      <x:c r="E9" s="18" t="str">
        <x:v>增加中间支持，再逐步撤去；不是重复讲完整答案</x:v>
      </x:c>
      <x:c r="F9" s="18" t="str">
        <x:v>M06；前提不足回M04</x:v>
      </x:c>
      <x:c r="G9" s="18" t="str">
        <x:v>相似新材料中减少提示后能否完成</x:v>
      </x:c>
      <x:c r="H9" s="18" t="str">
        <x:v>记录支持程度，不急于标掌握</x:v>
      </x:c>
      <x:c r="I9" s="18" t="str">
        <x:v>S08</x:v>
      </x:c>
      <x:c r="J9" s="18" t="str">
        <x:v>https://educationendowmentfoundation.org.uk/education-evidence/guidance-reports/metacognition</x:v>
      </x:c>
    </x:row>
    <x:row r="10" ht="50" customHeight="1">
      <x:c r="A10" s="30" t="str">
        <x:v>Q05</x:v>
      </x:c>
      <x:c r="B10" s="18" t="str">
        <x:v>当堂会、之后忘</x:v>
      </x:c>
      <x:c r="C10" s="18" t="str">
        <x:v>原本会做的知识无法调取</x:v>
      </x:c>
      <x:c r="D10" s="18" t="str">
        <x:v>核对新旧材料难度、提示与间隔</x:v>
      </x:c>
      <x:c r="E10" s="18" t="str">
        <x:v>在后续正常课堂中间隔复现、主动提取与纠正</x:v>
      </x:c>
      <x:c r="F10" s="18" t="str">
        <x:v>M05/M07/M08</x:v>
      </x:c>
      <x:c r="G10" s="18" t="str">
        <x:v>延时观察，不另加正式考试</x:v>
      </x:c>
      <x:c r="H10" s="18" t="str">
        <x:v>保持证据单列</x:v>
      </x:c>
      <x:c r="I10" s="18" t="str">
        <x:v>S06</x:v>
      </x:c>
      <x:c r="J10" s="18" t="str">
        <x:v>https://ies.ed.gov/ncee/wwc/PracticeGuide/1</x:v>
      </x:c>
    </x:row>
    <x:row r="11" ht="50" customHeight="1">
      <x:c r="A11" s="30" t="str">
        <x:v>Q06</x:v>
      </x:c>
      <x:c r="B11" s="18" t="str">
        <x:v>旧例会、新例不会</x:v>
      </x:c>
      <x:c r="C11" s="18" t="str">
        <x:v>只记得某篇答案或词语标签</x:v>
      </x:c>
      <x:c r="D11" s="18" t="str">
        <x:v>检查新例前提和变化是否过大，是否理解适用条件</x:v>
      </x:c>
      <x:c r="E11" s="18" t="str">
        <x:v>用有限对照说明同异，减少原题重复</x:v>
      </x:c>
      <x:c r="F11" s="18" t="str">
        <x:v>M05/M06/M07</x:v>
      </x:c>
      <x:c r="G11" s="18" t="str">
        <x:v>新材料能解释为什么采用相应方法</x:v>
      </x:c>
      <x:c r="H11" s="18" t="str">
        <x:v>迁移只在被观察的范围内成立</x:v>
      </x:c>
      <x:c r="I11" s="18" t="str">
        <x:v>S04;S06</x:v>
      </x:c>
      <x:c r="J11" s="18" t="str">
        <x:v>https://www.nationalacademies.org/read/24783/chapter/7</x:v>
      </x:c>
    </x:row>
    <x:row r="12" ht="57" customHeight="1">
      <x:c r="A12" s="30" t="str">
        <x:v>Q07</x:v>
      </x:c>
      <x:c r="B12" s="18" t="str">
        <x:v>评分/题目不可靠</x:v>
      </x:c>
      <x:c r="C12" s="18" t="str">
        <x:v>集中失分、合理答案被误判、评分者分歧</x:v>
      </x:c>
      <x:c r="D12" s="18" t="str">
        <x:v>先核题干要求、答案范围、难度、任务目的、作答条件</x:v>
      </x:c>
      <x:c r="E12" s="18" t="str">
        <x:v>修题或标准，必要时重评；先不加课</x:v>
      </x:c>
      <x:c r="F12" s="18" t="str">
        <x:v>M07</x:v>
      </x:c>
      <x:c r="G12" s="18" t="str">
        <x:v>用匿名样例复核评分口径</x:v>
      </x:c>
      <x:c r="H12" s="18" t="str">
        <x:v>修尺子后再判断学习问题</x:v>
      </x:c>
      <x:c r="I12" s="18" t="str">
        <x:v>S11</x:v>
      </x:c>
      <x:c r="J12" s="18" t="str">
        <x:v>https://www.testingstandards.net/uploads/7/6/6/4/76643089/standards_2014edition.pdf</x:v>
      </x:c>
    </x:row>
    <x:row r="13" ht="57" customHeight="1">
      <x:c r="A13" s="30" t="str">
        <x:v>Q08</x:v>
      </x:c>
      <x:c r="B13" s="18" t="str">
        <x:v>样本或资料不足</x:v>
      </x:c>
      <x:c r="C13" s="18" t="str">
        <x:v>少量典型作品、未观察全员、缺少作答</x:v>
      </x:c>
      <x:c r="D13" s="18" t="str">
        <x:v>说明选择方式、覆盖与缺失；不能推精确班级比例</x:v>
      </x:c>
      <x:c r="E13" s="18" t="str">
        <x:v>用已有适当任务补所需证据，或保留基础方案和未知</x:v>
      </x:c>
      <x:c r="F13" s="18" t="str">
        <x:v>M04/M11</x:v>
      </x:c>
      <x:c r="G13" s="18" t="str">
        <x:v>证据与实际范围一致</x:v>
      </x:c>
      <x:c r="H13" s="18" t="str">
        <x:v>尚无足够证据不是不合格</x:v>
      </x:c>
      <x:c r="I13" s="18" t="str">
        <x:v>S11</x:v>
      </x:c>
      <x:c r="J13" s="18" t="str">
        <x:v>https://www.testingstandards.net/uploads/7/6/6/4/76643089/standards_2014edition.pdf</x:v>
      </x:c>
    </x:row>
    <x:row r="14" ht="50" customHeight="1">
      <x:c r="A14" s="30" t="str">
        <x:v>Q09</x:v>
      </x:c>
      <x:c r="B14" s="18" t="str">
        <x:v>持续超时或负担上升</x:v>
      </x:c>
      <x:c r="C14" s="18" t="str">
        <x:v>个人练习被挤掉、作业多、教师需大量拼接</x:v>
      </x:c>
      <x:c r="D14" s="18" t="str">
        <x:v>核实际用时和全过程成本，查看冗余环节</x:v>
      </x:c>
      <x:c r="E14" s="18" t="str">
        <x:v>删减非关键联结/展示；同步改材料；替换而非叠加任务</x:v>
      </x:c>
      <x:c r="F14" s="18" t="str">
        <x:v>M08/M09</x:v>
      </x:c>
      <x:c r="G14" s="18" t="str">
        <x:v>同等必要质量下总投入是否下降</x:v>
      </x:c>
      <x:c r="H14" s="18" t="str">
        <x:v>课外/教师/支持方成本分开呈现</x:v>
      </x:c>
      <x:c r="I14" s="18" t="str">
        <x:v>项目约定</x:v>
      </x:c>
      <x:c r="J14" s="18" t="str"/>
    </x:row>
    <x:row r="15" ht="57" customHeight="1">
      <x:c r="A15" s="30" t="str">
        <x:v>Q10</x:v>
      </x:c>
      <x:c r="B15" s="18" t="str">
        <x:v>表现改善但因果不明</x:v>
      </x:c>
      <x:c r="C15" s="18" t="str">
        <x:v>试卷、起点、评分和练习量同时变化</x:v>
      </x:c>
      <x:c r="D15" s="18" t="str">
        <x:v>检查可比性、实施情况、额外支持与样本</x:v>
      </x:c>
      <x:c r="E15" s="18" t="str">
        <x:v>保留有价值做法但降低效果断言；继续按正常任务验证</x:v>
      </x:c>
      <x:c r="F15" s="18" t="str">
        <x:v>M11/M12</x:v>
      </x:c>
      <x:c r="G15" s="18" t="str">
        <x:v>原始作品、过程和条件共同支持判断</x:v>
      </x:c>
      <x:c r="H15" s="18" t="str">
        <x:v>不作每次领先或必然提分保证</x:v>
      </x:c>
      <x:c r="I15" s="18" t="str">
        <x:v>S11;S14</x:v>
      </x:c>
      <x:c r="J15" s="18" t="str">
        <x:v>https://www.testingstandards.net/uploads/7/6/6/4/76643089/standards_2014edition.pdf</x:v>
      </x:c>
    </x:row>
    <x:row r="16" ht="57" customHeight="1">
      <x:c r="A16" s="30" t="str">
        <x:v>Q11</x:v>
      </x:c>
      <x:c r="B16" s="18" t="str">
        <x:v>资源或规则反复出错</x:v>
      </x:c>
      <x:c r="C16" s="18" t="str">
        <x:v>同类错误多次需要教师修复</x:v>
      </x:c>
      <x:c r="D16" s="18" t="str">
        <x:v>追溯来源、方法适用条件、旧版本与更新范围</x:v>
      </x:c>
      <x:c r="E16" s="18" t="str">
        <x:v>修默认规则、退出错误资源，检查关联成果</x:v>
      </x:c>
      <x:c r="F16" s="18" t="str">
        <x:v>M12→对应模块</x:v>
      </x:c>
      <x:c r="G16" s="18" t="str">
        <x:v>旧错误场景不再重复出现；新例无同类问题</x:v>
      </x:c>
      <x:c r="H16" s="18" t="str">
        <x:v>采用、实施、效果和复用条件分离</x:v>
      </x:c>
      <x:c r="I16" s="18" t="str">
        <x:v>S14</x:v>
      </x:c>
      <x:c r="J16" s="18" t="str">
        <x:v>https://educationendowmentfoundation.org.uk/education-evidence/guidance-reports/implementation/process</x:v>
      </x:c>
    </x:row>
    <x:row r="17" ht="50" customHeight="1">
      <x:c r="A17" s="30" t="str">
        <x:v>Q12</x:v>
      </x:c>
      <x:c r="B17" s="18" t="str">
        <x:v>兴趣/公平/隐私受损</x:v>
      </x:c>
      <x:c r="C17" s="18" t="str">
        <x:v>热闹但无学习、弱势学生被排除、敏感披露要求</x:v>
      </x:c>
      <x:c r="D17" s="18" t="str">
        <x:v>检查任务价值、前提支持、实际机会与授权</x:v>
      </x:c>
      <x:c r="E17" s="18" t="str">
        <x:v>撤除伤害性安排，换可进入且有学习证据的任务</x:v>
      </x:c>
      <x:c r="F17" s="18" t="str">
        <x:v>M01/M06/M08/M10</x:v>
      </x:c>
      <x:c r="G17" s="18" t="str">
        <x:v>不同起点均有参与机会，不以隐私换素材</x:v>
      </x:c>
      <x:c r="H17" s="18" t="str">
        <x:v>严重问题立即停止，不等待统计趋势</x:v>
      </x:c>
      <x:c r="I17" s="18" t="str">
        <x:v>S05</x:v>
      </x:c>
      <x:c r="J17" s="18" t="str">
        <x:v>https://www.nationalacademies.org/read/24783/chapter/8</x:v>
      </x:c>
    </x:row>
  </x:sheetData>
  <x:mergeCells>
    <x:mergeCell ref="A1:J1"/>
    <x:mergeCell ref="A2:J3"/>
  </x:mergeCells>
  <x:pageMargins left="0.7" right="0.7" top="0.75" bottom="0.75" header="0.3" footer="0.3"/>
  <x:tableParts count="1">
    <x:tablePart xmlns:r="http://schemas.openxmlformats.org/officeDocument/2006/relationships" r:id="R84abf81ac0414b2e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28" hidden="0" customWidth="1"/>
    <x:col min="3" max="3" width="40" hidden="0" customWidth="1"/>
    <x:col min="4" max="4" width="40" hidden="0" customWidth="1"/>
    <x:col min="5" max="5" width="39" hidden="0" customWidth="1"/>
    <x:col min="6" max="6" width="32" hidden="0" customWidth="1"/>
    <x:col min="7" max="7" width="40" hidden="0" customWidth="1"/>
    <x:col min="8" max="8" width="35" hidden="0" customWidth="1"/>
  </x:cols>
  <x:sheetData>
    <x:row r="1" ht="38" customHeight="1">
      <x:c r="A1" s="4" t="str">
        <x:v>用三个场景检验逻辑</x:v>
      </x:c>
      <x:c r="B1" s="4"/>
      <x:c r="C1" s="4"/>
      <x:c r="D1" s="4"/>
      <x:c r="E1" s="4"/>
      <x:c r="F1" s="4"/>
      <x:c r="G1" s="4"/>
      <x:c r="H1" s="4"/>
    </x:row>
    <x:row r="2">
      <x:c r="A2" s="11" t="str">
        <x:v>A：《梦游》联结方法样例；B：写作修改；C：信息阅读与跨科。全部是假设验收场景，不是该班教学事实。</x:v>
      </x:c>
      <x:c r="B2" s="11"/>
      <x:c r="C2" s="11"/>
      <x:c r="D2" s="11"/>
      <x:c r="E2" s="11"/>
      <x:c r="F2" s="11"/>
      <x:c r="G2" s="11"/>
      <x:c r="H2" s="11"/>
    </x:row>
    <x:row r="3">
      <x:c r="A3" s="11"/>
      <x:c r="B3" s="11"/>
      <x:c r="C3" s="11"/>
      <x:c r="D3" s="11"/>
      <x:c r="E3" s="11"/>
      <x:c r="F3" s="11"/>
      <x:c r="G3" s="11"/>
      <x:c r="H3" s="11"/>
    </x:row>
    <x:row r="4" ht="10" customHeight="1"/>
    <x:row r="5" ht="33" customHeight="1">
      <x:c r="A5" s="25" t="str">
        <x:v>场景ID</x:v>
      </x:c>
      <x:c r="B5" s="25" t="str">
        <x:v>阶段</x:v>
      </x:c>
      <x:c r="C5" s="25" t="str">
        <x:v>输入/条件</x:v>
      </x:c>
      <x:c r="D5" s="25" t="str">
        <x:v>模块动作</x:v>
      </x:c>
      <x:c r="E5" s="25" t="str">
        <x:v>输出</x:v>
      </x:c>
      <x:c r="F5" s="25" t="str">
        <x:v>教师只需做什么</x:v>
      </x:c>
      <x:c r="G5" s="25" t="str">
        <x:v>验收要点</x:v>
      </x:c>
      <x:c r="H5" s="25" t="str">
        <x:v>状态/边界</x:v>
      </x:c>
    </x:row>
    <x:row r="6" ht="50" customHeight="1">
      <x:c r="A6" s="30" t="str">
        <x:v>A01</x:v>
      </x:c>
      <x:c r="B6" s="18" t="str">
        <x:v>诗词联结：先明确任务</x:v>
      </x:c>
      <x:c r="C6" s="18" t="str">
        <x:v>教师希望借鉴《梦游》的人生尺度解读；尚未给出真实课本单元</x:v>
      </x:c>
      <x:c r="D6" s="18" t="str">
        <x:v>M01/M02确认作为方法样例或教师拓展；不假定初一必学</x:v>
      </x:c>
      <x:c r="E6" s="18" t="str">
        <x:v>O01/O02：样例边界、目标、未知内容</x:v>
      </x:c>
      <x:c r="F6" s="18" t="str">
        <x:v>若实际授课必须先确认当前篇目；不重复问已知年级</x:v>
      </x:c>
      <x:c r="G6" s="18" t="str">
        <x:v>范围不明时不直接给全班必背清单</x:v>
      </x:c>
      <x:c r="H6" s="18" t="str">
        <x:v>示例；非实际教学记录</x:v>
      </x:c>
    </x:row>
    <x:row r="7" ht="50" customHeight="1">
      <x:c r="A7" s="30" t="str">
        <x:v>A02</x:v>
      </x:c>
      <x:c r="B7" s="18" t="str">
        <x:v>诗词联结：读文本、核背景</x:v>
      </x:c>
      <x:c r="C7" s="18" t="str">
        <x:v>梦境—梦醒—结尾的语言证据；背景来源与年代尚需核对</x:v>
      </x:c>
      <x:c r="D7" s="18" t="str">
        <x:v>M03解读；M05分作者、文本、学生三线，选择少量候选对照</x:v>
      </x:c>
      <x:c r="E7" s="18" t="str">
        <x:v>O03/O05：哪些联系必要、可选、舍弃；明确相同与不同</x:v>
      </x:c>
      <x:c r="F7" s="18" t="str">
        <x:v>只需确认候选作品是否真的学过</x:v>
      </x:c>
      <x:c r="G7" s="18" t="str">
        <x:v>不得把仕途事件与所有梦境意象一一对号入座</x:v>
      </x:c>
      <x:c r="H7" s="18" t="str">
        <x:v>示例；原文参S13，生平未核不写断言</x:v>
      </x:c>
    </x:row>
    <x:row r="8" ht="50" customHeight="1">
      <x:c r="A8" s="30" t="str">
        <x:v>A03</x:v>
      </x:c>
      <x:c r="B8" s="18" t="str">
        <x:v>诗词联结：设计学生动作</x:v>
      </x:c>
      <x:c r="C8" s="18" t="str">
        <x:v>目标是有依据解释，并能修订单一情绪标签</x:v>
      </x:c>
      <x:c r="D8" s="18" t="str">
        <x:v>M06/M07：先读本诗提出理解，再比较一小段已确认可用作品，回到本诗修订</x:v>
      </x:c>
      <x:c r="E8" s="18" t="str">
        <x:v>O06/O07：学生解释与修订任务、合理答案范围、延时复现候选</x:v>
      </x:c>
      <x:c r="F8" s="18" t="str">
        <x:v>审关键材料和解释范围</x:v>
      </x:c>
      <x:c r="G8" s="18" t="str">
        <x:v>学生不只是听完作者故事；作答不要求复述老师唯一观点</x:v>
      </x:c>
      <x:c r="H8" s="18" t="str">
        <x:v>示例；具体对照原文接入后定</x:v>
      </x:c>
    </x:row>
    <x:row r="9" ht="50" customHeight="1">
      <x:c r="A9" s="30" t="str">
        <x:v>A04</x:v>
      </x:c>
      <x:c r="B9" s="18" t="str">
        <x:v>诗词联结：编排与交付</x:v>
      </x:c>
      <x:c r="C9" s="18" t="str">
        <x:v>明确课时后才可估算；有核心任务和拓展候选</x:v>
      </x:c>
      <x:c r="D9" s="18" t="str">
        <x:v>M08削减无用背景保证个人解释；M09出一致材料；M10检查来源与负担</x:v>
      </x:c>
      <x:c r="E9" s="18" t="str">
        <x:v>O08/O09/O10：课堂简报、材料、预案与来源</x:v>
      </x:c>
      <x:c r="F9" s="18" t="str">
        <x:v>采用/减少联结/换内容</x:v>
      </x:c>
      <x:c r="G9" s="18" t="str">
        <x:v>减少联结后课件同步改，不能把拓展全部挪成课后任务</x:v>
      </x:c>
      <x:c r="H9" s="18" t="str">
        <x:v>示例；不宣称已取得节时收益</x:v>
      </x:c>
    </x:row>
    <x:row r="10" ht="50" customHeight="1">
      <x:c r="A10" s="30" t="str">
        <x:v>A05</x:v>
      </x:c>
      <x:c r="B10" s="18" t="str">
        <x:v>诗词联结：纠正与复现</x:v>
      </x:c>
      <x:c r="C10" s="18" t="str">
        <x:v>假设学生只记住故事，不能依据词句解释</x:v>
      </x:c>
      <x:c r="D10" s="18" t="str">
        <x:v>M11先审任务；M12回M05减少背景、回M06增加文本对照</x:v>
      </x:c>
      <x:c r="E10" s="18" t="str">
        <x:v>O12：最小替换、预计证据、否定条件、后续正常任务</x:v>
      </x:c>
      <x:c r="F10" s="18" t="str">
        <x:v>可选反馈；不必写复盘</x:v>
      </x:c>
      <x:c r="G10" s="18" t="str">
        <x:v>如果独立文本依据未改善，就不把此联结标为有效</x:v>
      </x:c>
      <x:c r="H10" s="18" t="str">
        <x:v>假设现象；不是该班实际数据</x:v>
      </x:c>
    </x:row>
    <x:row r="11" ht="50" customHeight="1">
      <x:c r="A11" s="30" t="str">
        <x:v>B01</x:v>
      </x:c>
      <x:c r="B11" s="18" t="str">
        <x:v>写作课：有初稿才修改</x:v>
      </x:c>
      <x:c r="C11" s="18" t="str">
        <x:v>当前目标为把关键场景写具体；是否已有初稿未知</x:v>
      </x:c>
      <x:c r="D11" s="18" t="str">
        <x:v>M01只问是否已有；M03选合法匿名或自拟样例；M06示范—写—改</x:v>
      </x:c>
      <x:c r="E11" s="18" t="str">
        <x:v>一套匹配有/无初稿状态的课堂任务</x:v>
      </x:c>
      <x:c r="F11" s="18" t="str">
        <x:v>已有/未有/不确定</x:v>
      </x:c>
      <x:c r="G11" s="18" t="str">
        <x:v>未有初稿时不会生成整节对现成稿互改方案</x:v>
      </x:c>
      <x:c r="H11" s="18" t="str">
        <x:v>验收案例</x:v>
      </x:c>
    </x:row>
    <x:row r="12" ht="50" customHeight="1">
      <x:c r="A12" s="30" t="str">
        <x:v>B02</x:v>
      </x:c>
      <x:c r="B12" s="18" t="str">
        <x:v>写作课：改一处联动</x:v>
      </x:c>
      <x:c r="C12" s="18" t="str">
        <x:v>教师选择增加学生独立写作时间</x:v>
      </x:c>
      <x:c r="D12" s="18" t="str">
        <x:v>M08减少导入或展示，M09同步改流程、投屏、任务和课外安排</x:v>
      </x:c>
      <x:c r="E12" s="18" t="str">
        <x:v>统一新版及差异摘要</x:v>
      </x:c>
      <x:c r="F12" s="18" t="str">
        <x:v>只表达一次取舍</x:v>
      </x:c>
      <x:c r="G12" s="18" t="str">
        <x:v>不靠缩小字号或仅改时间数字实现减时</x:v>
      </x:c>
      <x:c r="H12" s="18" t="str">
        <x:v>验收案例</x:v>
      </x:c>
    </x:row>
    <x:row r="13" ht="50" customHeight="1">
      <x:c r="A13" s="30" t="str">
        <x:v>C01</x:v>
      </x:c>
      <x:c r="B13" s="18" t="str">
        <x:v>信息阅读：不强用生平法</x:v>
      </x:c>
      <x:c r="C13" s="18" t="str">
        <x:v>材料为说明性/多源信息文本；目标为条件和证据整合</x:v>
      </x:c>
      <x:c r="D13" s="18" t="str">
        <x:v>M03按信息结构分析；M05必要时连接已学阅读方法而非作者人生</x:v>
      </x:c>
      <x:c r="E13" s="18" t="str">
        <x:v>M06/M07提供概括、对照来源和解释证据的任务</x:v>
      </x:c>
      <x:c r="F13" s="18" t="str">
        <x:v>采用推荐即可</x:v>
      </x:c>
      <x:c r="G13" s="18" t="str">
        <x:v>方法库不会所有课都套李白式生平串联</x:v>
      </x:c>
      <x:c r="H13" s="18" t="str">
        <x:v>验收案例</x:v>
      </x:c>
    </x:row>
    <x:row r="14" ht="50" customHeight="1">
      <x:c r="A14" s="30" t="str">
        <x:v>C02</x:v>
      </x:c>
      <x:c r="B14" s="18" t="str">
        <x:v>跨学科迁移：保留学科规则</x:v>
      </x:c>
      <x:c r="C14" s="18" t="str">
        <x:v>语文训练限定条件；其他学科已有相似读题任务</x:v>
      </x:c>
      <x:c r="D14" s="18" t="str">
        <x:v>M06与相应学科确认不同规则；M07使用其正常任务观察</x:v>
      </x:c>
      <x:c r="E14" s="18" t="str">
        <x:v>迁移提示和具体错误观察，不新增练习包</x:v>
      </x:c>
      <x:c r="F14" s="18" t="str">
        <x:v>跨科合作按需确认</x:v>
      </x:c>
      <x:c r="G14" s="18" t="str">
        <x:v>不根据语文短答改善宣称数学总分上升</x:v>
      </x:c>
      <x:c r="H14" s="18" t="str">
        <x:v>扩展验收案例</x:v>
      </x:c>
    </x:row>
  </x:sheetData>
  <x:mergeCells>
    <x:mergeCell ref="A1:H1"/>
    <x:mergeCell ref="A2:H3"/>
  </x:mergeCells>
  <x:pageMargins left="0.7" right="0.7" top="0.75" bottom="0.75" header="0.3" footer="0.3"/>
  <x:tableParts count="1">
    <x:tablePart xmlns:r="http://schemas.openxmlformats.org/officeDocument/2006/relationships" r:id="R94ef1e0edbfa4168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27" hidden="0" customWidth="1"/>
    <x:col min="3" max="3" width="37" hidden="0" customWidth="1"/>
    <x:col min="4" max="4" width="40" hidden="0" customWidth="1"/>
    <x:col min="5" max="5" width="40" hidden="0" customWidth="1"/>
    <x:col min="6" max="6" width="18" hidden="0" customWidth="1"/>
    <x:col min="7" max="7" width="40" hidden="0" customWidth="1"/>
  </x:cols>
  <x:sheetData>
    <x:row r="1" ht="38" customHeight="1">
      <x:c r="A1" s="4" t="str">
        <x:v>先验证一个真实单元</x:v>
      </x:c>
      <x:c r="B1" s="4"/>
      <x:c r="C1" s="4"/>
      <x:c r="D1" s="4"/>
      <x:c r="E1" s="4"/>
      <x:c r="F1" s="4"/>
      <x:c r="G1" s="4"/>
    </x:row>
    <x:row r="2">
      <x:c r="A2" s="11" t="str">
        <x:v>固定范围内验证课堂可用与真实减负，再扩到更多单元和七至九年级；不承诺每次考试领先。</x:v>
      </x:c>
      <x:c r="B2" s="11"/>
      <x:c r="C2" s="11"/>
      <x:c r="D2" s="11"/>
      <x:c r="E2" s="11"/>
      <x:c r="F2" s="11"/>
      <x:c r="G2" s="11"/>
    </x:row>
    <x:row r="3">
      <x:c r="A3" s="11"/>
      <x:c r="B3" s="11"/>
      <x:c r="C3" s="11"/>
      <x:c r="D3" s="11"/>
      <x:c r="E3" s="11"/>
      <x:c r="F3" s="11"/>
      <x:c r="G3" s="11"/>
    </x:row>
    <x:row r="4" ht="10" customHeight="1"/>
    <x:row r="5" ht="33" customHeight="1">
      <x:c r="A5" s="25" t="str">
        <x:v>验收ID</x:v>
      </x:c>
      <x:c r="B5" s="25" t="str">
        <x:v>对象</x:v>
      </x:c>
      <x:c r="C5" s="25" t="str">
        <x:v>所需输入/条件</x:v>
      </x:c>
      <x:c r="D5" s="25" t="str">
        <x:v>执行方式</x:v>
      </x:c>
      <x:c r="E5" s="25" t="str">
        <x:v>通过判断/当前缺口</x:v>
      </x:c>
      <x:c r="F5" s="25" t="str">
        <x:v>当前状态</x:v>
      </x:c>
      <x:c r="G5" s="25" t="str">
        <x:v>约束</x:v>
      </x:c>
    </x:row>
    <x:row r="6" ht="50" customHeight="1">
      <x:c r="A6" s="30" t="str">
        <x:v>V01</x:v>
      </x:c>
      <x:c r="B6" s="18" t="str">
        <x:v>范围与基线</x:v>
      </x:c>
      <x:c r="C6" s="18" t="str">
        <x:v>实际教材、当前单元和学校安排</x:v>
      </x:c>
      <x:c r="D6" s="18" t="str">
        <x:v>支持方先获取整理，教师只纠正；固定试点边界</x:v>
      </x:c>
      <x:c r="E6" s="18" t="str">
        <x:v>本校教材版本、课时、真实进度待补</x:v>
      </x:c>
      <x:c r="F6" s="32" t="str">
        <x:v>待补资料</x:v>
      </x:c>
      <x:c r="G6" s="18" t="str">
        <x:v>负责人不默认全由教师承担</x:v>
      </x:c>
    </x:row>
    <x:row r="7" ht="50" customHeight="1">
      <x:c r="A7" s="30" t="str">
        <x:v>V02</x:v>
      </x:c>
      <x:c r="B7" s="18" t="str">
        <x:v>课程与考试资料</x:v>
      </x:c>
      <x:c r="C7" s="18" t="str">
        <x:v>课标原文、官方年度规则、真题与评分材料</x:v>
      </x:c>
      <x:c r="D7" s="18" t="str">
        <x:v>标记已核和未核；做真实内容映射而非泛标签</x:v>
      </x:c>
      <x:c r="E7" s="18" t="str">
        <x:v>2026总分及时长已核；本届具体教材/学校试卷未接入</x:v>
      </x:c>
      <x:c r="F7" s="32" t="str">
        <x:v>待补资料</x:v>
      </x:c>
      <x:c r="G7" s="18" t="str">
        <x:v>不得把此工作簿视为已完成逐篇课程映射</x:v>
      </x:c>
    </x:row>
    <x:row r="8" ht="50" customHeight="1">
      <x:c r="A8" s="30" t="str">
        <x:v>V03</x:v>
      </x:c>
      <x:c r="B8" s="18" t="str">
        <x:v>正常任务可用</x:v>
      </x:c>
      <x:c r="C8" s="18" t="str">
        <x:v>一节当前课的完整准备</x:v>
      </x:c>
      <x:c r="D8" s="18" t="str">
        <x:v>教师看关键内容、采用或改一处，得到一致材料</x:v>
      </x:c>
      <x:c r="E8" s="18" t="str">
        <x:v>师生与支持方总投入、关键返工、课堂能否执行</x:v>
      </x:c>
      <x:c r="F8" s="32" t="str">
        <x:v>待试点</x:v>
      </x:c>
      <x:c r="G8" s="18" t="str">
        <x:v>不承诺固定省时百分比</x:v>
      </x:c>
    </x:row>
    <x:row r="9" ht="50" customHeight="1">
      <x:c r="A9" s="30" t="str">
        <x:v>V04</x:v>
      </x:c>
      <x:c r="B9" s="18" t="str">
        <x:v>资源和前提缺失</x:v>
      </x:c>
      <x:c r="C9" s="18" t="str">
        <x:v>无作业样本、未知是否通读、没有投影</x:v>
      </x:c>
      <x:c r="D9" s="18" t="str">
        <x:v>保留未知、只问决定性问题、给无设备或基础方案</x:v>
      </x:c>
      <x:c r="E9" s="18" t="str">
        <x:v>不制造已学记录、全班掌握率或不存在的材料</x:v>
      </x:c>
      <x:c r="F9" s="32" t="str">
        <x:v>待试点</x:v>
      </x:c>
      <x:c r="G9" s="18" t="str">
        <x:v>关键内容不足则暂缓受影响部分</x:v>
      </x:c>
    </x:row>
    <x:row r="10" ht="50" customHeight="1">
      <x:c r="A10" s="30" t="str">
        <x:v>V05</x:v>
      </x:c>
      <x:c r="B10" s="18" t="str">
        <x:v>开放题合理性</x:v>
      </x:c>
      <x:c r="C10" s="18" t="str">
        <x:v>多种有依据解释和评分冲突</x:v>
      </x:c>
      <x:c r="D10" s="18" t="str">
        <x:v>用原文和评分范围复核，必要时修题，不只比关键词</x:v>
      </x:c>
      <x:c r="E10" s="18" t="str">
        <x:v>评分理由可解释，AI一致不替代专业判断</x:v>
      </x:c>
      <x:c r="F10" s="32" t="str">
        <x:v>待试点</x:v>
      </x:c>
      <x:c r="G10" s="18" t="str">
        <x:v>实际评分尺度需教研样例校准</x:v>
      </x:c>
    </x:row>
    <x:row r="11" ht="50" customHeight="1">
      <x:c r="A11" s="30" t="str">
        <x:v>V06</x:v>
      </x:c>
      <x:c r="B11" s="18" t="str">
        <x:v>联结是否有价值</x:v>
      </x:c>
      <x:c r="C11" s="18" t="str">
        <x:v>同作者或同主题但教学作用不清</x:v>
      </x:c>
      <x:c r="D11" s="18" t="str">
        <x:v>必须给关系、学生动作、成本和返回本篇证据；否则删减</x:v>
      </x:c>
      <x:c r="E11" s="18" t="str">
        <x:v>学生能解释而非只背故事；不占用关键独立练习</x:v>
      </x:c>
      <x:c r="F11" s="32" t="str">
        <x:v>待试点</x:v>
      </x:c>
      <x:c r="G11" s="18" t="str">
        <x:v>高效为设计假设，需证据支持</x:v>
      </x:c>
    </x:row>
    <x:row r="12" ht="50" customHeight="1">
      <x:c r="A12" s="30" t="str">
        <x:v>V07</x:v>
      </x:c>
      <x:c r="B12" s="18" t="str">
        <x:v>异常变更联动</x:v>
      </x:c>
      <x:c r="C12" s="18" t="str">
        <x:v>临时缩课、删联结、学生未完成前置学习</x:v>
      </x:c>
      <x:c r="D12" s="18" t="str">
        <x:v>回对应模块重排，再同步所有交付物</x:v>
      </x:c>
      <x:c r="E12" s="18" t="str">
        <x:v>目标仍适当、材料一致、课外负担不被偷增</x:v>
      </x:c>
      <x:c r="F12" s="32" t="str">
        <x:v>待试点</x:v>
      </x:c>
      <x:c r="G12" s="18" t="str">
        <x:v>不要求教师重复修改多个文件</x:v>
      </x:c>
    </x:row>
    <x:row r="13" ht="50" customHeight="1">
      <x:c r="A13" s="30" t="str">
        <x:v>V08</x:v>
      </x:c>
      <x:c r="B13" s="18" t="str">
        <x:v>证据有效性</x:v>
      </x:c>
      <x:c r="C13" s="18" t="str">
        <x:v>样本少、原题练熟、试卷难度不同</x:v>
      </x:c>
      <x:c r="D13" s="18" t="str">
        <x:v>先查测量条件与覆盖；按支持/新旧/间隔描述</x:v>
      </x:c>
      <x:c r="E13" s="18" t="str">
        <x:v>不推全班精确比例、不把分数上涨直接当因果</x:v>
      </x:c>
      <x:c r="F13" s="32" t="str">
        <x:v>待试点</x:v>
      </x:c>
      <x:c r="G13" s="18" t="str">
        <x:v>无证据≠不会；一次采用≠有效</x:v>
      </x:c>
    </x:row>
    <x:row r="14" ht="50" customHeight="1">
      <x:c r="A14" s="30" t="str">
        <x:v>V09</x:v>
      </x:c>
      <x:c r="B14" s="18" t="str">
        <x:v>成本与减负</x:v>
      </x:c>
      <x:c r="C14" s="18" t="str">
        <x:v>生成、审阅、改错、印发、课外任务、维护</x:v>
      </x:c>
      <x:c r="D14" s="18" t="str">
        <x:v>全过程对比；支持方劳动单列；不只统计点击数</x:v>
      </x:c>
      <x:c r="E14" s="18" t="str">
        <x:v>同质量少投入或同投入更好；严重质量下降不能算成功</x:v>
      </x:c>
      <x:c r="F14" s="32" t="str">
        <x:v>待试点</x:v>
      </x:c>
      <x:c r="G14" s="18" t="str">
        <x:v>实际用时可抽样，不要求教师每日逐分钟填报</x:v>
      </x:c>
    </x:row>
    <x:row r="15" ht="50" customHeight="1">
      <x:c r="A15" s="30" t="str">
        <x:v>V10</x:v>
      </x:c>
      <x:c r="B15" s="18" t="str">
        <x:v>扩大范围条件</x:v>
      </x:c>
      <x:c r="C15" s="18" t="str">
        <x:v>当前单元的真实实施记录</x:v>
      </x:c>
      <x:c r="D15" s="18" t="str">
        <x:v>关键错误可控、教师返工减少、课堂任务可行后再扩</x:v>
      </x:c>
      <x:c r="E15" s="18" t="str">
        <x:v>保留原始作品、变化和失败案例，明确适用范围</x:v>
      </x:c>
      <x:c r="F15" s="32" t="str">
        <x:v>待试点</x:v>
      </x:c>
      <x:c r="G15" s="18" t="str">
        <x:v>先一单元/少数课型，再覆盖七至九年级</x:v>
      </x:c>
    </x:row>
  </x:sheetData>
  <x:mergeCells>
    <x:mergeCell ref="A1:G1"/>
    <x:mergeCell ref="A2:G3"/>
  </x:mergeCells>
  <x:dataValidations count="1">
    <x:dataValidation type="list" sqref="F6:F15">
      <x:formula1>"待补资料,待试点,已通过,需修改,暂缓"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038cf0b7aa6478f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21" hidden="0" customWidth="1"/>
    <x:col min="3" max="3" width="40" hidden="0" customWidth="1"/>
    <x:col min="4" max="4" width="34" hidden="0" customWidth="1"/>
    <x:col min="5" max="5" width="23" hidden="0" customWidth="1"/>
    <x:col min="6" max="6" width="16" hidden="0" customWidth="1"/>
    <x:col min="7" max="7" width="40" hidden="0" customWidth="1"/>
    <x:col min="8" max="8" width="40" hidden="0" customWidth="1"/>
    <x:col min="9" max="9" width="40" hidden="0" customWidth="1"/>
    <x:col min="10" max="10" width="40" hidden="0" customWidth="1"/>
  </x:cols>
  <x:sheetData>
    <x:row r="1" ht="38" customHeight="1">
      <x:c r="A1" s="4" t="str">
        <x:v>来源、用途与限制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>
      <x:c r="A2" s="11" t="str">
        <x:v>核对日期：2026-09-19。来源提供不同类型的依据；S01全文及本校逐条映射尚需补齐，S02仅核实2026总分与时长。</x:v>
      </x:c>
      <x:c r="B2" s="11"/>
      <x:c r="C2" s="11"/>
      <x:c r="D2" s="11"/>
      <x:c r="E2" s="11"/>
      <x:c r="F2" s="11"/>
      <x:c r="G2" s="11"/>
      <x:c r="H2" s="11"/>
      <x:c r="I2" s="11"/>
      <x:c r="J2" s="11"/>
    </x:row>
    <x:row r="3">
      <x:c r="A3" s="11"/>
      <x:c r="B3" s="11"/>
      <x:c r="C3" s="11"/>
      <x:c r="D3" s="11"/>
      <x:c r="E3" s="11"/>
      <x:c r="F3" s="11"/>
      <x:c r="G3" s="11"/>
      <x:c r="H3" s="11"/>
      <x:c r="I3" s="11"/>
      <x:c r="J3" s="11"/>
    </x:row>
    <x:row r="4" ht="10" customHeight="1"/>
    <x:row r="5" ht="33" customHeight="1">
      <x:c r="A5" s="25" t="str">
        <x:v>来源ID</x:v>
      </x:c>
      <x:c r="B5" s="25" t="str">
        <x:v>证据类型</x:v>
      </x:c>
      <x:c r="C5" s="25" t="str">
        <x:v>标题</x:v>
      </x:c>
      <x:c r="D5" s="25" t="str">
        <x:v>机构/作者</x:v>
      </x:c>
      <x:c r="E5" s="25" t="str">
        <x:v>原始时间</x:v>
      </x:c>
      <x:c r="F5" s="25" t="str">
        <x:v>核对日期</x:v>
      </x:c>
      <x:c r="G5" s="25" t="str">
        <x:v>支持什么</x:v>
      </x:c>
      <x:c r="H5" s="25" t="str">
        <x:v>适用限制/核验状态</x:v>
      </x:c>
      <x:c r="I5" s="25" t="str">
        <x:v>主要URL</x:v>
      </x:c>
      <x:c r="J5" s="25" t="str">
        <x:v>补充URL</x:v>
      </x:c>
    </x:row>
    <x:row r="6" ht="57" customHeight="1">
      <x:c r="A6" s="30" t="str">
        <x:v>S01</x:v>
      </x:c>
      <x:c r="B6" s="18" t="str">
        <x:v>课程文件</x:v>
      </x:c>
      <x:c r="C6" s="18" t="str">
        <x:v>义务教育课程方案和课程标准（2022年版）发布通知及语文附件</x:v>
      </x:c>
      <x:c r="D6" s="18" t="str">
        <x:v>教育部</x:v>
      </x:c>
      <x:c r="E6" s="18" t="str">
        <x:v>2022</x:v>
      </x:c>
      <x:c r="F6" s="18" t="str">
        <x:v>2026-09-19</x:v>
      </x:c>
      <x:c r="G6" s="18" t="str">
        <x:v>四项核心素养、六个学习任务群、第四学段与课程评价作为起始框架。</x:v>
      </x:c>
      <x:c r="H6" s="18" t="str">
        <x:v>发布位置已找到；本次全文抓取受限，逐条原文、页码及本校实际适用版本仍须接入后复核。不得写成已完成逐条对齐。</x:v>
      </x:c>
      <x:c r="I6" s="18" t="str">
        <x:v>https://www.moe.gov.cn/srcsite/A26/s8001/202204/t20220420_619921.html</x:v>
      </x:c>
      <x:c r="J6" s="18" t="str">
        <x:v>https://www.moe.gov.cn/srcsite/A26/s8001/202204/W020220420582344386456.pdf</x:v>
      </x:c>
    </x:row>
    <x:row r="7" ht="57" customHeight="1">
      <x:c r="A7" s="30" t="str">
        <x:v>S02</x:v>
      </x:c>
      <x:c r="B7" s="18" t="str">
        <x:v>考试文件</x:v>
      </x:c>
      <x:c r="C7" s="18" t="str">
        <x:v>江西省2026年高中阶段学校考试招生工作规定</x:v>
      </x:c>
      <x:c r="D7" s="18" t="str">
        <x:v>赣州市教育局转发</x:v>
      </x:c>
      <x:c r="E7" s="18" t="str">
        <x:v>2026-05-20</x:v>
      </x:c>
      <x:c r="F7" s="18" t="str">
        <x:v>2026-09-19</x:v>
      </x:c>
      <x:c r="G7" s="18" t="str">
        <x:v>可核实2026年语文满分120分；6月17日9:00—11:30，150分钟。</x:v>
      </x:c>
      <x:c r="H7" s="18" t="str">
        <x:v>仅支持该年度规则。各板块分值、具体题型须另核真题与评分说明；不得直接外推本届学生未来中考。</x:v>
      </x:c>
      <x:c r="I7" s="18" t="str">
        <x:v>https://edu.ganzhou.gov.cn/gzsjyj/c102990/202605/ef4819efb15a45ccbc63fada20aea89b.shtml</x:v>
      </x:c>
      <x:c r="J7" s="18" t="str"/>
    </x:row>
    <x:row r="8" ht="57" customHeight="1">
      <x:c r="A8" s="30" t="str">
        <x:v>S03</x:v>
      </x:c>
      <x:c r="B8" s="18" t="str">
        <x:v>产品参考</x:v>
      </x:c>
      <x:c r="C8" s="18" t="str">
        <x:v>Claude Science：Connectors and skills</x:v>
      </x:c>
      <x:c r="D8" s="18" t="str">
        <x:v>Anthropic / Claude 官方</x:v>
      </x:c>
      <x:c r="E8" s="18" t="str">
        <x:v>网页现行</x:v>
      </x:c>
      <x:c r="F8" s="18" t="str">
        <x:v>2026-09-19</x:v>
      </x:c>
      <x:c r="G8" s="18" t="str">
        <x:v>借鉴可靠资料、可调用操作与复用工作流程的任务组织方式。</x:v>
      </x:c>
      <x:c r="H8" s="18" t="str">
        <x:v>仅作为产品组织启发；本表是教学业务需求，不代表原产品已有这些教育功能，也不涉及实现。</x:v>
      </x:c>
      <x:c r="I8" s="18" t="str">
        <x:v>https://claude.com/docs/claude-science/connectors-and-skills</x:v>
      </x:c>
      <x:c r="J8" s="18" t="str"/>
    </x:row>
    <x:row r="9" ht="57" customHeight="1">
      <x:c r="A9" s="30" t="str">
        <x:v>S04</x:v>
      </x:c>
      <x:c r="B9" s="18" t="str">
        <x:v>研究综合</x:v>
      </x:c>
      <x:c r="C9" s="18" t="str">
        <x:v>How People Learn II，第5章 Knowledge and Reasoning</x:v>
      </x:c>
      <x:c r="D9" s="18" t="str">
        <x:v>美国国家科学院等</x:v>
      </x:c>
      <x:c r="E9" s="18" t="str">
        <x:v>2018</x:v>
      </x:c>
      <x:c r="F9" s="18" t="str">
        <x:v>2026-09-19</x:v>
      </x:c>
      <x:c r="G9" s="18" t="str">
        <x:v>已有知识、知识组织、跨经历整合与推理支持学习联结设计。</x:v>
      </x:c>
      <x:c r="H9" s="18" t="str">
        <x:v>支持一般机制，不直接证明李白生平联结课对江西初中生提分或节时；具体方案须验证。</x:v>
      </x:c>
      <x:c r="I9" s="18" t="str">
        <x:v>https://www.nationalacademies.org/read/24783/chapter/7</x:v>
      </x:c>
      <x:c r="J9" s="18" t="str"/>
    </x:row>
    <x:row r="10" ht="57" customHeight="1">
      <x:c r="A10" s="30" t="str">
        <x:v>S05</x:v>
      </x:c>
      <x:c r="B10" s="18" t="str">
        <x:v>研究综合</x:v>
      </x:c>
      <x:c r="C10" s="18" t="str">
        <x:v>How People Learn II，第6章 Motivation to Learn</x:v>
      </x:c>
      <x:c r="D10" s="18" t="str">
        <x:v>美国国家科学院等</x:v>
      </x:c>
      <x:c r="E10" s="18" t="str">
        <x:v>2018</x:v>
      </x:c>
      <x:c r="F10" s="18" t="str">
        <x:v>2026-09-19</x:v>
      </x:c>
      <x:c r="G10" s="18" t="str">
        <x:v>任务价值、可应对的挑战、能动性、胜任体验与学习参与。</x:v>
      </x:c>
      <x:c r="H10" s="18" t="str">
        <x:v>兴趣、动机、参与并非同一指标；不能用热闹、举手数或一次喜欢程度替代学习效果。</x:v>
      </x:c>
      <x:c r="I10" s="18" t="str">
        <x:v>https://www.nationalacademies.org/read/24783/chapter/8</x:v>
      </x:c>
      <x:c r="J10" s="18" t="str"/>
    </x:row>
    <x:row r="11" ht="57" customHeight="1">
      <x:c r="A11" s="30" t="str">
        <x:v>S06</x:v>
      </x:c>
      <x:c r="B11" s="18" t="str">
        <x:v>实践指南</x:v>
      </x:c>
      <x:c r="C11" s="18" t="str">
        <x:v>Organizing Instruction and Study to Improve Student Learning</x:v>
      </x:c>
      <x:c r="D11" s="18" t="str">
        <x:v>美国教育科学研究院 IES / WWC</x:v>
      </x:c>
      <x:c r="E11" s="18" t="str">
        <x:v>2007</x:v>
      </x:c>
      <x:c r="F11" s="18" t="str">
        <x:v>2026-09-19</x:v>
      </x:c>
      <x:c r="G11" s="18" t="str">
        <x:v>间隔学习、主动提取、解释性问题、示范与练习等。</x:v>
      </x:c>
      <x:c r="H11" s="18" t="str">
        <x:v>各建议证据等级不同；研究情境不等同于江西语文。不能宣称固定遗忘曲线、统一记忆增益或只做测验。</x:v>
      </x:c>
      <x:c r="I11" s="18" t="str">
        <x:v>https://ies.ed.gov/ncee/wwc/PracticeGuide/1</x:v>
      </x:c>
      <x:c r="J11" s="18" t="str"/>
    </x:row>
    <x:row r="12" ht="57" customHeight="1">
      <x:c r="A12" s="30" t="str">
        <x:v>S07</x:v>
      </x:c>
      <x:c r="B12" s="18" t="str">
        <x:v>实践指南</x:v>
      </x:c>
      <x:c r="C12" s="18" t="str">
        <x:v>Teaching Secondary Students to Write Effectively</x:v>
      </x:c>
      <x:c r="D12" s="18" t="str">
        <x:v>IES / WWC</x:v>
      </x:c>
      <x:c r="E12" s="18" t="str">
        <x:v>2016；2019修订</x:v>
      </x:c>
      <x:c r="F12" s="18" t="str">
        <x:v>2026-09-19</x:v>
      </x:c>
      <x:c r="G12" s="18" t="str">
        <x:v>6—12年级写作：示范—练习—反思、读写结合、利用作品调整教学。</x:v>
      </x:c>
      <x:c r="H12" s="18" t="str">
        <x:v>原指南对策略教学、读写结合、评价指导教学的证据评级不同；不得承诺全课型同效。</x:v>
      </x:c>
      <x:c r="I12" s="18" t="str">
        <x:v>https://ies.ed.gov/ncee/wwc/PracticeGuide/22</x:v>
      </x:c>
      <x:c r="J12" s="18" t="str"/>
    </x:row>
    <x:row r="13" ht="57" customHeight="1">
      <x:c r="A13" s="30" t="str">
        <x:v>S08</x:v>
      </x:c>
      <x:c r="B13" s="18" t="str">
        <x:v>实践指南</x:v>
      </x:c>
      <x:c r="C13" s="18" t="str">
        <x:v>Metacognition and Self-Regulated Learning</x:v>
      </x:c>
      <x:c r="D13" s="18" t="str">
        <x:v>Education Endowment Foundation</x:v>
      </x:c>
      <x:c r="E13" s="18" t="str">
        <x:v>网页现行</x:v>
      </x:c>
      <x:c r="F13" s="18" t="str">
        <x:v>2026-09-19</x:v>
      </x:c>
      <x:c r="G13" s="18" t="str">
        <x:v>在具体学科任务中指导计划、监控、检查与调整，示范后逐步撤去支持。</x:v>
      </x:c>
      <x:c r="H13" s="18" t="str">
        <x:v>不是脱离内容的通用口诀课，也不是固定学习风格分类。</x:v>
      </x:c>
      <x:c r="I13" s="18" t="str">
        <x:v>https://educationendowmentfoundation.org.uk/education-evidence/guidance-reports/metacognition</x:v>
      </x:c>
      <x:c r="J13" s="18" t="str"/>
    </x:row>
    <x:row r="14" ht="57" customHeight="1">
      <x:c r="A14" s="30" t="str">
        <x:v>S09</x:v>
      </x:c>
      <x:c r="B14" s="18" t="str">
        <x:v>实践指南</x:v>
      </x:c>
      <x:c r="C14" s="18" t="str">
        <x:v>Teacher Feedback to Improve Pupil Learning</x:v>
      </x:c>
      <x:c r="D14" s="18" t="str">
        <x:v>Education Endowment Foundation</x:v>
      </x:c>
      <x:c r="E14" s="18" t="str">
        <x:v>2021；网页现行</x:v>
      </x:c>
      <x:c r="F14" s="18" t="str">
        <x:v>2026-09-19</x:v>
      </x:c>
      <x:c r="G14" s="18" t="str">
        <x:v>反馈应推动学生下一步行动，预留使用反馈的时间，考虑成本与时机。</x:v>
      </x:c>
      <x:c r="H14" s="18" t="str">
        <x:v>并非反馈越多越好，不限定统一书面形式或所有任务即时反馈。</x:v>
      </x:c>
      <x:c r="I14" s="18" t="str">
        <x:v>https://educationendowmentfoundation.org.uk/education-evidence/guidance-reports/feedback</x:v>
      </x:c>
      <x:c r="J14" s="18" t="str"/>
    </x:row>
    <x:row r="15" ht="57" customHeight="1">
      <x:c r="A15" s="30" t="str">
        <x:v>S10</x:v>
      </x:c>
      <x:c r="B15" s="18" t="str">
        <x:v>实践指南</x:v>
      </x:c>
      <x:c r="C15" s="18" t="str">
        <x:v>Improving Literacy in Secondary Schools</x:v>
      </x:c>
      <x:c r="D15" s="18" t="str">
        <x:v>Education Endowment Foundation</x:v>
      </x:c>
      <x:c r="E15" s="18" t="str">
        <x:v>网页现行</x:v>
      </x:c>
      <x:c r="F15" s="18" t="str">
        <x:v>2026-09-19</x:v>
      </x:c>
      <x:c r="G15" s="18" t="str">
        <x:v>阅读、写作、词汇和交流既有共通要求，也有学科特定要求。</x:v>
      </x:c>
      <x:c r="H15" s="18" t="str">
        <x:v>跨学科迁移须由相应学科在已有任务中示范与观察，不能由语文表现直接推断。</x:v>
      </x:c>
      <x:c r="I15" s="18" t="str">
        <x:v>https://educationendowmentfoundation.org.uk/education-evidence/guidance-reports/literacy-ks3-ks4</x:v>
      </x:c>
      <x:c r="J15" s="18" t="str"/>
    </x:row>
    <x:row r="16" ht="57" customHeight="1">
      <x:c r="A16" s="30" t="str">
        <x:v>S11</x:v>
      </x:c>
      <x:c r="B16" s="18" t="str">
        <x:v>测量标准</x:v>
      </x:c>
      <x:c r="C16" s="18" t="str">
        <x:v>Standards for Educational and Psychological Testing</x:v>
      </x:c>
      <x:c r="D16" s="18" t="str">
        <x:v>AERA / APA / NCME</x:v>
      </x:c>
      <x:c r="E16" s="18" t="str">
        <x:v>2014</x:v>
      </x:c>
      <x:c r="F16" s="18" t="str">
        <x:v>2026-09-19</x:v>
      </x:c>
      <x:c r="G16" s="18" t="str">
        <x:v>评价用途、效度、评分规则与样例、可靠性和公平性。</x:v>
      </x:c>
      <x:c r="H16" s="18" t="str">
        <x:v>是测量学参考，不是江西行政要求；不得仅凭一次短答题推断稳定能力。</x:v>
      </x:c>
      <x:c r="I16" s="18" t="str">
        <x:v>https://www.testingstandards.net/uploads/7/6/6/4/76643089/standards_2014edition.pdf</x:v>
      </x:c>
      <x:c r="J16" s="18" t="str"/>
    </x:row>
    <x:row r="17" ht="50" customHeight="1">
      <x:c r="A17" s="30" t="str">
        <x:v>S12</x:v>
      </x:c>
      <x:c r="B17" s="18" t="str">
        <x:v>学科研究</x:v>
      </x:c>
      <x:c r="C17" s="18" t="str">
        <x:v>语文课程“学习主题”辨析——语文课程标准文本中的关键词</x:v>
      </x:c>
      <x:c r="D17" s="18" t="str">
        <x:v>王荣生，《课程·教材·教法》；人教社网站</x:v>
      </x:c>
      <x:c r="E17" s="18" t="str">
        <x:v>2023</x:v>
      </x:c>
      <x:c r="F17" s="18" t="str">
        <x:v>2026-09-19</x:v>
      </x:c>
      <x:c r="G17" s="18" t="str">
        <x:v>学习主题应落回具体语文内容，避免先贴抽象主题再拼接篇目。</x:v>
      </x:c>
      <x:c r="H17" s="18" t="str">
        <x:v>属于学者解释，不等于课标原文或强制规范。</x:v>
      </x:c>
      <x:c r="I17" s="18" t="str">
        <x:v>https://www.pep.com.cn/bks/kcjcjf/xszh/202503/W020250407394952554339.pdf</x:v>
      </x:c>
      <x:c r="J17" s="18" t="str"/>
    </x:row>
    <x:row r="18" ht="57" customHeight="1">
      <x:c r="A18" s="30" t="str">
        <x:v>S13</x:v>
      </x:c>
      <x:c r="B18" s="18" t="str">
        <x:v>文本原文</x:v>
      </x:c>
      <x:c r="C18" s="18" t="str">
        <x:v>梦游天姥吟留别</x:v>
      </x:c>
      <x:c r="D18" s="18" t="str">
        <x:v>维基文库所录《全唐诗》文本</x:v>
      </x:c>
      <x:c r="E18" s="18" t="str">
        <x:v>古代作品；网页现行</x:v>
      </x:c>
      <x:c r="F18" s="18" t="str">
        <x:v>2026-09-19</x:v>
      </x:c>
      <x:c r="G18" s="18" t="str">
        <x:v>用于例示梦境、梦醒、结尾等文本内容的细读与联结。</x:v>
      </x:c>
      <x:c r="H18" s="18" t="str">
        <x:v>教材异文以实际教材为准；该页不支持生平和作品创作年表。本文作为方法样例，不列为初一必学。</x:v>
      </x:c>
      <x:c r="I18" s="18" t="str">
        <x:v>https://zh.wikisource.org/wiki/夢遊天姥吟留別</x:v>
      </x:c>
      <x:c r="J18" s="18" t="str"/>
    </x:row>
    <x:row r="19" ht="57" customHeight="1">
      <x:c r="A19" s="30" t="str">
        <x:v>S14</x:v>
      </x:c>
      <x:c r="B19" s="18" t="str">
        <x:v>实施指南</x:v>
      </x:c>
      <x:c r="C19" s="18" t="str">
        <x:v>A School's Guide to Implementation：Process</x:v>
      </x:c>
      <x:c r="D19" s="18" t="str">
        <x:v>Education Endowment Foundation</x:v>
      </x:c>
      <x:c r="E19" s="18" t="str">
        <x:v>网页现行</x:v>
      </x:c>
      <x:c r="F19" s="18" t="str">
        <x:v>2026-09-19</x:v>
      </x:c>
      <x:c r="G19" s="18" t="str">
        <x:v>探索、准备、实施、持续改进与条件检查。</x:v>
      </x:c>
      <x:c r="H19" s="18" t="str">
        <x:v>本项目按单元试点、验证和更新；不能把可接受或已采用等同于有效。</x:v>
      </x:c>
      <x:c r="I19" s="18" t="str">
        <x:v>https://educationendowmentfoundation.org.uk/education-evidence/guidance-reports/implementation/process</x:v>
      </x:c>
      <x:c r="J19" s="18" t="str"/>
    </x:row>
  </x:sheetData>
  <x:mergeCells>
    <x:mergeCell ref="A1:J1"/>
    <x:mergeCell ref="A2:J3"/>
  </x:mergeCells>
  <x:pageMargins left="0.7" right="0.7" top="0.75" bottom="0.75" header="0.3" footer="0.3"/>
  <x:tableParts count="1">
    <x:tablePart xmlns:r="http://schemas.openxmlformats.org/officeDocument/2006/relationships" r:id="R984c5a3e34e1478a"/>
  </x:tableParts>
</x:worksheet>
</file>